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3M\Desktop\"/>
    </mc:Choice>
  </mc:AlternateContent>
  <bookViews>
    <workbookView xWindow="0" yWindow="0" windowWidth="14370" windowHeight="7530"/>
  </bookViews>
  <sheets>
    <sheet name="Soal Ujia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K6" i="1"/>
  <c r="K7" i="1"/>
  <c r="K8" i="1"/>
  <c r="K9" i="1"/>
  <c r="K10" i="1"/>
  <c r="K11" i="1"/>
  <c r="K12" i="1"/>
  <c r="K13" i="1"/>
  <c r="K14" i="1"/>
  <c r="K5" i="1"/>
  <c r="J6" i="1"/>
  <c r="J7" i="1"/>
  <c r="J8" i="1"/>
  <c r="J9" i="1"/>
  <c r="J10" i="1"/>
  <c r="J11" i="1"/>
  <c r="J12" i="1"/>
  <c r="J13" i="1"/>
  <c r="J14" i="1"/>
  <c r="J5" i="1"/>
  <c r="I6" i="1"/>
  <c r="I7" i="1"/>
  <c r="I8" i="1"/>
  <c r="I9" i="1"/>
  <c r="I10" i="1"/>
  <c r="I11" i="1"/>
  <c r="I12" i="1"/>
  <c r="I13" i="1"/>
  <c r="I14" i="1"/>
  <c r="I5" i="1"/>
  <c r="G6" i="1"/>
  <c r="G7" i="1"/>
  <c r="G8" i="1"/>
  <c r="G9" i="1"/>
  <c r="G10" i="1"/>
  <c r="G11" i="1"/>
  <c r="G12" i="1"/>
  <c r="G13" i="1"/>
  <c r="G14" i="1"/>
  <c r="F6" i="1"/>
  <c r="F7" i="1"/>
  <c r="F8" i="1"/>
  <c r="F9" i="1"/>
  <c r="F10" i="1"/>
  <c r="F11" i="1"/>
  <c r="F12" i="1"/>
  <c r="F13" i="1"/>
  <c r="F14" i="1"/>
  <c r="F5" i="1"/>
  <c r="H6" i="1"/>
  <c r="H7" i="1"/>
  <c r="H8" i="1"/>
  <c r="H9" i="1"/>
  <c r="H10" i="1"/>
  <c r="H11" i="1"/>
  <c r="H12" i="1"/>
  <c r="H13" i="1"/>
  <c r="H14" i="1"/>
  <c r="H5" i="1"/>
  <c r="E6" i="1"/>
  <c r="E7" i="1"/>
  <c r="E8" i="1"/>
  <c r="E9" i="1"/>
  <c r="E10" i="1"/>
  <c r="E11" i="1"/>
  <c r="E12" i="1"/>
  <c r="E13" i="1"/>
  <c r="E14" i="1"/>
  <c r="E5" i="1"/>
</calcChain>
</file>

<file path=xl/sharedStrings.xml><?xml version="1.0" encoding="utf-8"?>
<sst xmlns="http://schemas.openxmlformats.org/spreadsheetml/2006/main" count="69" uniqueCount="58">
  <si>
    <t>DAFTAR GAJI PEGAWAI</t>
  </si>
  <si>
    <t>NO</t>
  </si>
  <si>
    <t>NAMA PEGAWAI</t>
  </si>
  <si>
    <t xml:space="preserve">Status </t>
  </si>
  <si>
    <t>NOMOR POKOK</t>
  </si>
  <si>
    <t>Kode Golongan</t>
  </si>
  <si>
    <t>JURUSAN</t>
  </si>
  <si>
    <t>TAHUN ALUMNI</t>
  </si>
  <si>
    <t>GAJI POKOK</t>
  </si>
  <si>
    <t>TUNJANGAN</t>
  </si>
  <si>
    <t>TOTAL GAJI</t>
  </si>
  <si>
    <t xml:space="preserve">AHMAD </t>
  </si>
  <si>
    <t>ANDRIANUS</t>
  </si>
  <si>
    <t>RIANTO</t>
  </si>
  <si>
    <t>DADANG</t>
  </si>
  <si>
    <t>BINSAR</t>
  </si>
  <si>
    <t>HERYANY</t>
  </si>
  <si>
    <t>FAISAL</t>
  </si>
  <si>
    <t>DESTIANI</t>
  </si>
  <si>
    <t>ARIANTO</t>
  </si>
  <si>
    <t>MAULANA</t>
  </si>
  <si>
    <t>Kawin</t>
  </si>
  <si>
    <t>Tidak Kawin</t>
  </si>
  <si>
    <t>AK-A89201-3C</t>
  </si>
  <si>
    <t>TS-C90202-3A</t>
  </si>
  <si>
    <t>TA-A89203-3C</t>
  </si>
  <si>
    <t>MJ-B91204-3A</t>
  </si>
  <si>
    <t>MJ-B92205-3B</t>
  </si>
  <si>
    <t>AK-C92206-3A</t>
  </si>
  <si>
    <t>TS-C90207-3B</t>
  </si>
  <si>
    <t>HK-C89208-3C</t>
  </si>
  <si>
    <t>AK-B91209-3C</t>
  </si>
  <si>
    <t>TA-A92310-3C</t>
  </si>
  <si>
    <t>Tunjangan keluarga</t>
  </si>
  <si>
    <t>Gaji &amp; Tunjangan</t>
  </si>
  <si>
    <t>Kode_Golongan</t>
  </si>
  <si>
    <t>Tunjangan Keluarga</t>
  </si>
  <si>
    <t>3A</t>
  </si>
  <si>
    <t>3B</t>
  </si>
  <si>
    <t>3C</t>
  </si>
  <si>
    <t>Jurusan</t>
  </si>
  <si>
    <t>Kode Jurusan</t>
  </si>
  <si>
    <t>AK</t>
  </si>
  <si>
    <t>HK</t>
  </si>
  <si>
    <t>MJ</t>
  </si>
  <si>
    <t>TA</t>
  </si>
  <si>
    <t>TS</t>
  </si>
  <si>
    <t>AKUNTANSI</t>
  </si>
  <si>
    <t>HUKUM</t>
  </si>
  <si>
    <t>MANAJEMEN</t>
  </si>
  <si>
    <t>ARSITEK</t>
  </si>
  <si>
    <t>SIPIL</t>
  </si>
  <si>
    <t>Tabel Tahun Alumni</t>
  </si>
  <si>
    <t>KODE</t>
  </si>
  <si>
    <t>TAHUN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</si>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</sst>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(&quot;Rp&quot;* #,##0_);_(&quot;Rp&quot;* \(#,##0\);_(&quot;Rp&quot;* &quot;-&quot;_);_(@_)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9" fontId="0" fillId="0" borderId="1" xfId="0" applyNumberFormat="1" applyBorder="1"/>
    <xf numFmtId="42" fontId="0" fillId="0" borderId="1" xfId="0" applyNumberFormat="1" applyBorder="1"/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2" fontId="5" fillId="0" borderId="1" xfId="0" applyNumberFormat="1" applyFont="1" applyBorder="1"/>
    <xf numFmtId="9" fontId="5" fillId="0" borderId="1" xfId="1" applyFont="1" applyBorder="1"/>
    <xf numFmtId="0" fontId="9" fillId="2" borderId="2" xfId="2" applyFont="1" applyBorder="1" applyAlignment="1">
      <alignment horizontal="center" vertical="center" wrapText="1"/>
    </xf>
    <xf numFmtId="0" fontId="9" fillId="2" borderId="3" xfId="2" applyFont="1" applyBorder="1" applyAlignment="1">
      <alignment horizontal="center" vertical="center" wrapText="1"/>
    </xf>
    <xf numFmtId="0" fontId="9" fillId="2" borderId="4" xfId="2" applyFont="1" applyBorder="1" applyAlignment="1">
      <alignment horizontal="center" vertical="center" wrapText="1"/>
    </xf>
    <xf numFmtId="0" fontId="10" fillId="4" borderId="1" xfId="4" applyFont="1" applyBorder="1" applyAlignment="1">
      <alignment horizontal="center" vertical="center" wrapText="1"/>
    </xf>
    <xf numFmtId="0" fontId="11" fillId="3" borderId="2" xfId="3" applyFont="1" applyBorder="1" applyAlignment="1">
      <alignment horizontal="center" vertical="center"/>
    </xf>
    <xf numFmtId="0" fontId="11" fillId="3" borderId="3" xfId="3" applyFont="1" applyBorder="1" applyAlignment="1">
      <alignment horizontal="center" vertical="center"/>
    </xf>
    <xf numFmtId="0" fontId="11" fillId="3" borderId="4" xfId="3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 count="5">
    <cellStyle name="Bad" xfId="3" builtinId="27"/>
    <cellStyle name="Good" xfId="2" builtinId="26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D28" activeCellId="1" sqref="H5 D28"/>
    </sheetView>
  </sheetViews>
  <sheetFormatPr defaultRowHeight="15" x14ac:dyDescent="0.25"/>
  <cols>
    <col min="1" max="1" width="6.85546875" customWidth="1"/>
    <col min="2" max="2" width="14.5703125" customWidth="1"/>
    <col min="3" max="3" width="12.85546875" customWidth="1"/>
    <col min="4" max="4" width="18.140625" customWidth="1"/>
    <col min="5" max="5" width="19.7109375" customWidth="1"/>
    <col min="6" max="6" width="16" customWidth="1"/>
    <col min="7" max="7" width="12.5703125" customWidth="1"/>
    <col min="8" max="8" width="16.7109375" customWidth="1"/>
    <col min="9" max="9" width="16.85546875" customWidth="1"/>
    <col min="10" max="10" width="18.140625" customWidth="1"/>
    <col min="11" max="11" width="18" customWidth="1"/>
  </cols>
  <sheetData>
    <row r="1" spans="1:12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5.75" customHeight="1" x14ac:dyDescent="0.25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3"/>
    </row>
    <row r="3" spans="1:12" ht="15.7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3"/>
    </row>
    <row r="4" spans="1:12" ht="31.5" x14ac:dyDescent="0.2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33</v>
      </c>
      <c r="K4" s="5" t="s">
        <v>10</v>
      </c>
      <c r="L4" s="3"/>
    </row>
    <row r="5" spans="1:12" ht="15.75" x14ac:dyDescent="0.25">
      <c r="A5" s="6">
        <v>1</v>
      </c>
      <c r="B5" s="4" t="s">
        <v>11</v>
      </c>
      <c r="C5" s="4" t="s">
        <v>21</v>
      </c>
      <c r="D5" s="4" t="s">
        <v>23</v>
      </c>
      <c r="E5" s="4" t="str">
        <f>RIGHT(D5,2)</f>
        <v>3C</v>
      </c>
      <c r="F5" s="4" t="str">
        <f>VLOOKUP(LEFT(D5,2),$H$18:$I$23,2,0)</f>
        <v>AKUNTANSI</v>
      </c>
      <c r="G5" s="4">
        <f>HLOOKUP(RIGHT(E5,1),$B$25:$E$26,2,0)</f>
        <v>1992</v>
      </c>
      <c r="H5" s="13">
        <f>VLOOKUP(E5:E14,$B$19:$E$21,2,0)</f>
        <v>1200000</v>
      </c>
      <c r="I5" s="14">
        <f>VLOOKUP(E5:E14,$B$18:$E$21,3,0)</f>
        <v>0.14000000000000001</v>
      </c>
      <c r="J5" s="14">
        <f>VLOOKUP(E5:E14,$B$18:$E$21,4,0)</f>
        <v>0.25</v>
      </c>
      <c r="K5" s="13">
        <f>H5*I5*J5</f>
        <v>42000.000000000007</v>
      </c>
      <c r="L5" s="3"/>
    </row>
    <row r="6" spans="1:12" ht="15.75" x14ac:dyDescent="0.25">
      <c r="A6" s="6">
        <v>2</v>
      </c>
      <c r="B6" s="4" t="s">
        <v>12</v>
      </c>
      <c r="C6" s="4" t="s">
        <v>22</v>
      </c>
      <c r="D6" s="4" t="s">
        <v>24</v>
      </c>
      <c r="E6" s="4" t="str">
        <f t="shared" ref="E6:E14" si="0">RIGHT(D6,2)</f>
        <v>3A</v>
      </c>
      <c r="F6" s="4" t="str">
        <f t="shared" ref="F6:F14" si="1">VLOOKUP(LEFT(D6,2),$H$18:$I$23,2,0)</f>
        <v>SIPIL</v>
      </c>
      <c r="G6" s="4">
        <f t="shared" ref="G6:G14" si="2">HLOOKUP(RIGHT(E6,1),$B$25:$E$26,2,0)</f>
        <v>1989</v>
      </c>
      <c r="H6" s="13">
        <f t="shared" ref="H6:H14" si="3">VLOOKUP(E6:E15,$B$19:$E$21,2,0)</f>
        <v>1000000</v>
      </c>
      <c r="I6" s="14">
        <f t="shared" ref="I6:I14" si="4">VLOOKUP(E6:E15,$B$18:$E$21,3,0)</f>
        <v>0.1</v>
      </c>
      <c r="J6" s="14">
        <f t="shared" ref="J6:J14" si="5">VLOOKUP(E6:E15,$B$18:$E$21,4,0)</f>
        <v>0.15</v>
      </c>
      <c r="K6" s="13">
        <f t="shared" ref="K6:K14" si="6">H6*I6*J6</f>
        <v>15000</v>
      </c>
      <c r="L6" s="3"/>
    </row>
    <row r="7" spans="1:12" ht="15.75" x14ac:dyDescent="0.25">
      <c r="A7" s="6">
        <v>3</v>
      </c>
      <c r="B7" s="4" t="s">
        <v>13</v>
      </c>
      <c r="C7" s="4" t="s">
        <v>21</v>
      </c>
      <c r="D7" s="4" t="s">
        <v>25</v>
      </c>
      <c r="E7" s="4" t="str">
        <f t="shared" si="0"/>
        <v>3C</v>
      </c>
      <c r="F7" s="4" t="str">
        <f t="shared" si="1"/>
        <v>ARSITEK</v>
      </c>
      <c r="G7" s="4">
        <f t="shared" si="2"/>
        <v>1992</v>
      </c>
      <c r="H7" s="13">
        <f t="shared" si="3"/>
        <v>1200000</v>
      </c>
      <c r="I7" s="14">
        <f t="shared" si="4"/>
        <v>0.14000000000000001</v>
      </c>
      <c r="J7" s="14">
        <f t="shared" si="5"/>
        <v>0.25</v>
      </c>
      <c r="K7" s="13">
        <f t="shared" si="6"/>
        <v>42000.000000000007</v>
      </c>
      <c r="L7" s="3"/>
    </row>
    <row r="8" spans="1:12" ht="15.75" x14ac:dyDescent="0.25">
      <c r="A8" s="6">
        <v>4</v>
      </c>
      <c r="B8" s="4" t="s">
        <v>14</v>
      </c>
      <c r="C8" s="4" t="s">
        <v>22</v>
      </c>
      <c r="D8" s="4" t="s">
        <v>26</v>
      </c>
      <c r="E8" s="4" t="str">
        <f t="shared" si="0"/>
        <v>3A</v>
      </c>
      <c r="F8" s="4" t="str">
        <f t="shared" si="1"/>
        <v>MANAJEMEN</v>
      </c>
      <c r="G8" s="4">
        <f t="shared" si="2"/>
        <v>1989</v>
      </c>
      <c r="H8" s="13">
        <f t="shared" si="3"/>
        <v>1000000</v>
      </c>
      <c r="I8" s="14">
        <f t="shared" si="4"/>
        <v>0.1</v>
      </c>
      <c r="J8" s="14">
        <f t="shared" si="5"/>
        <v>0.15</v>
      </c>
      <c r="K8" s="13">
        <f t="shared" si="6"/>
        <v>15000</v>
      </c>
      <c r="L8" s="3"/>
    </row>
    <row r="9" spans="1:12" ht="15.75" x14ac:dyDescent="0.25">
      <c r="A9" s="6">
        <v>5</v>
      </c>
      <c r="B9" s="4" t="s">
        <v>15</v>
      </c>
      <c r="C9" s="4" t="s">
        <v>22</v>
      </c>
      <c r="D9" s="4" t="s">
        <v>27</v>
      </c>
      <c r="E9" s="4" t="str">
        <f t="shared" si="0"/>
        <v>3B</v>
      </c>
      <c r="F9" s="4" t="str">
        <f t="shared" si="1"/>
        <v>MANAJEMEN</v>
      </c>
      <c r="G9" s="4">
        <f t="shared" si="2"/>
        <v>1990</v>
      </c>
      <c r="H9" s="13">
        <f t="shared" si="3"/>
        <v>1100000</v>
      </c>
      <c r="I9" s="14">
        <f t="shared" si="4"/>
        <v>0.12</v>
      </c>
      <c r="J9" s="14">
        <f t="shared" si="5"/>
        <v>0.2</v>
      </c>
      <c r="K9" s="13">
        <f t="shared" si="6"/>
        <v>26400</v>
      </c>
      <c r="L9" s="3"/>
    </row>
    <row r="10" spans="1:12" ht="15.75" x14ac:dyDescent="0.25">
      <c r="A10" s="6">
        <v>6</v>
      </c>
      <c r="B10" s="4" t="s">
        <v>16</v>
      </c>
      <c r="C10" s="4" t="s">
        <v>21</v>
      </c>
      <c r="D10" s="4" t="s">
        <v>28</v>
      </c>
      <c r="E10" s="4" t="str">
        <f t="shared" si="0"/>
        <v>3A</v>
      </c>
      <c r="F10" s="4" t="str">
        <f t="shared" si="1"/>
        <v>AKUNTANSI</v>
      </c>
      <c r="G10" s="4">
        <f t="shared" si="2"/>
        <v>1989</v>
      </c>
      <c r="H10" s="13">
        <f t="shared" si="3"/>
        <v>1000000</v>
      </c>
      <c r="I10" s="14">
        <f t="shared" si="4"/>
        <v>0.1</v>
      </c>
      <c r="J10" s="14">
        <f t="shared" si="5"/>
        <v>0.15</v>
      </c>
      <c r="K10" s="13">
        <f t="shared" si="6"/>
        <v>15000</v>
      </c>
      <c r="L10" s="3"/>
    </row>
    <row r="11" spans="1:12" ht="15.75" x14ac:dyDescent="0.25">
      <c r="A11" s="6">
        <v>7</v>
      </c>
      <c r="B11" s="4" t="s">
        <v>17</v>
      </c>
      <c r="C11" s="4" t="s">
        <v>22</v>
      </c>
      <c r="D11" s="4" t="s">
        <v>29</v>
      </c>
      <c r="E11" s="4" t="str">
        <f t="shared" si="0"/>
        <v>3B</v>
      </c>
      <c r="F11" s="4" t="str">
        <f t="shared" si="1"/>
        <v>SIPIL</v>
      </c>
      <c r="G11" s="4">
        <f t="shared" si="2"/>
        <v>1990</v>
      </c>
      <c r="H11" s="13">
        <f t="shared" si="3"/>
        <v>1100000</v>
      </c>
      <c r="I11" s="14">
        <f t="shared" si="4"/>
        <v>0.12</v>
      </c>
      <c r="J11" s="14">
        <f t="shared" si="5"/>
        <v>0.2</v>
      </c>
      <c r="K11" s="13">
        <f t="shared" si="6"/>
        <v>26400</v>
      </c>
      <c r="L11" s="3"/>
    </row>
    <row r="12" spans="1:12" ht="15.75" x14ac:dyDescent="0.25">
      <c r="A12" s="6">
        <v>8</v>
      </c>
      <c r="B12" s="4" t="s">
        <v>18</v>
      </c>
      <c r="C12" s="4" t="s">
        <v>22</v>
      </c>
      <c r="D12" s="4" t="s">
        <v>30</v>
      </c>
      <c r="E12" s="4" t="str">
        <f t="shared" si="0"/>
        <v>3C</v>
      </c>
      <c r="F12" s="4" t="str">
        <f t="shared" si="1"/>
        <v>HUKUM</v>
      </c>
      <c r="G12" s="4">
        <f t="shared" si="2"/>
        <v>1992</v>
      </c>
      <c r="H12" s="13">
        <f t="shared" si="3"/>
        <v>1200000</v>
      </c>
      <c r="I12" s="14">
        <f t="shared" si="4"/>
        <v>0.14000000000000001</v>
      </c>
      <c r="J12" s="14">
        <f t="shared" si="5"/>
        <v>0.25</v>
      </c>
      <c r="K12" s="13">
        <f t="shared" si="6"/>
        <v>42000.000000000007</v>
      </c>
      <c r="L12" s="3"/>
    </row>
    <row r="13" spans="1:12" ht="15.75" x14ac:dyDescent="0.25">
      <c r="A13" s="6">
        <v>9</v>
      </c>
      <c r="B13" s="4" t="s">
        <v>19</v>
      </c>
      <c r="C13" s="4" t="s">
        <v>21</v>
      </c>
      <c r="D13" s="4" t="s">
        <v>31</v>
      </c>
      <c r="E13" s="4" t="str">
        <f t="shared" si="0"/>
        <v>3C</v>
      </c>
      <c r="F13" s="4" t="str">
        <f t="shared" si="1"/>
        <v>AKUNTANSI</v>
      </c>
      <c r="G13" s="4">
        <f t="shared" si="2"/>
        <v>1992</v>
      </c>
      <c r="H13" s="13">
        <f t="shared" si="3"/>
        <v>1200000</v>
      </c>
      <c r="I13" s="14">
        <f t="shared" si="4"/>
        <v>0.14000000000000001</v>
      </c>
      <c r="J13" s="14">
        <f t="shared" si="5"/>
        <v>0.25</v>
      </c>
      <c r="K13" s="13">
        <f t="shared" si="6"/>
        <v>42000.000000000007</v>
      </c>
      <c r="L13" s="3"/>
    </row>
    <row r="14" spans="1:12" ht="15.75" x14ac:dyDescent="0.25">
      <c r="A14" s="6">
        <v>10</v>
      </c>
      <c r="B14" s="4" t="s">
        <v>20</v>
      </c>
      <c r="C14" s="4" t="s">
        <v>21</v>
      </c>
      <c r="D14" s="4" t="s">
        <v>32</v>
      </c>
      <c r="E14" s="4" t="str">
        <f t="shared" si="0"/>
        <v>3C</v>
      </c>
      <c r="F14" s="4" t="str">
        <f t="shared" si="1"/>
        <v>ARSITEK</v>
      </c>
      <c r="G14" s="4">
        <f t="shared" si="2"/>
        <v>1992</v>
      </c>
      <c r="H14" s="13">
        <f t="shared" si="3"/>
        <v>1200000</v>
      </c>
      <c r="I14" s="14">
        <f t="shared" si="4"/>
        <v>0.14000000000000001</v>
      </c>
      <c r="J14" s="14">
        <f t="shared" si="5"/>
        <v>0.25</v>
      </c>
      <c r="K14" s="13">
        <f t="shared" si="6"/>
        <v>42000.000000000007</v>
      </c>
      <c r="L14" s="3"/>
    </row>
    <row r="15" spans="1:1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7" spans="2:9" x14ac:dyDescent="0.25">
      <c r="B17" s="15" t="s">
        <v>34</v>
      </c>
      <c r="C17" s="16"/>
      <c r="D17" s="16"/>
      <c r="E17" s="17"/>
      <c r="F17" s="10"/>
      <c r="G17" s="10"/>
      <c r="H17" s="18" t="s">
        <v>40</v>
      </c>
      <c r="I17" s="18"/>
    </row>
    <row r="18" spans="2:9" ht="30" x14ac:dyDescent="0.25">
      <c r="B18" s="9" t="s">
        <v>35</v>
      </c>
      <c r="C18" s="9" t="s">
        <v>8</v>
      </c>
      <c r="D18" s="9" t="s">
        <v>9</v>
      </c>
      <c r="E18" s="9" t="s">
        <v>36</v>
      </c>
      <c r="F18" s="10"/>
      <c r="G18" s="10"/>
      <c r="H18" s="9" t="s">
        <v>41</v>
      </c>
      <c r="I18" s="9" t="s">
        <v>6</v>
      </c>
    </row>
    <row r="19" spans="2:9" x14ac:dyDescent="0.25">
      <c r="B19" s="12" t="s">
        <v>37</v>
      </c>
      <c r="C19" s="8">
        <v>1000000</v>
      </c>
      <c r="D19" s="7">
        <v>0.1</v>
      </c>
      <c r="E19" s="7">
        <v>0.15</v>
      </c>
      <c r="H19" s="1" t="s">
        <v>42</v>
      </c>
      <c r="I19" s="1" t="s">
        <v>47</v>
      </c>
    </row>
    <row r="20" spans="2:9" x14ac:dyDescent="0.25">
      <c r="B20" s="12" t="s">
        <v>38</v>
      </c>
      <c r="C20" s="8">
        <v>1100000</v>
      </c>
      <c r="D20" s="7">
        <v>0.12</v>
      </c>
      <c r="E20" s="7">
        <v>0.2</v>
      </c>
      <c r="H20" s="1" t="s">
        <v>43</v>
      </c>
      <c r="I20" s="1" t="s">
        <v>48</v>
      </c>
    </row>
    <row r="21" spans="2:9" x14ac:dyDescent="0.25">
      <c r="B21" s="12" t="s">
        <v>39</v>
      </c>
      <c r="C21" s="8">
        <v>1200000</v>
      </c>
      <c r="D21" s="7">
        <v>0.14000000000000001</v>
      </c>
      <c r="E21" s="7">
        <v>0.25</v>
      </c>
      <c r="H21" s="1" t="s">
        <v>44</v>
      </c>
      <c r="I21" s="1" t="s">
        <v>49</v>
      </c>
    </row>
    <row r="22" spans="2:9" x14ac:dyDescent="0.25">
      <c r="H22" s="1" t="s">
        <v>45</v>
      </c>
      <c r="I22" s="1" t="s">
        <v>50</v>
      </c>
    </row>
    <row r="23" spans="2:9" x14ac:dyDescent="0.25">
      <c r="H23" s="1" t="s">
        <v>46</v>
      </c>
      <c r="I23" s="1" t="s">
        <v>51</v>
      </c>
    </row>
    <row r="24" spans="2:9" x14ac:dyDescent="0.25">
      <c r="B24" s="19" t="s">
        <v>52</v>
      </c>
      <c r="C24" s="20"/>
      <c r="D24" s="20"/>
      <c r="E24" s="21"/>
    </row>
    <row r="25" spans="2:9" x14ac:dyDescent="0.25">
      <c r="B25" s="11" t="s">
        <v>53</v>
      </c>
      <c r="C25" s="11" t="s">
        <v>55</v>
      </c>
      <c r="D25" s="11" t="s">
        <v>56</v>
      </c>
      <c r="E25" s="11" t="s">
        <v>57</v>
      </c>
    </row>
    <row r="26" spans="2:9" x14ac:dyDescent="0.25">
      <c r="B26" s="1" t="s">
        <v>54</v>
      </c>
      <c r="C26" s="8">
        <v>1989</v>
      </c>
      <c r="D26" s="8">
        <v>1990</v>
      </c>
      <c r="E26" s="8">
        <v>1992</v>
      </c>
    </row>
  </sheetData>
  <mergeCells count="4">
    <mergeCell ref="B17:E17"/>
    <mergeCell ref="H17:I17"/>
    <mergeCell ref="B24:E24"/>
    <mergeCell ref="A2:K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Ujian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D3M</dc:creator>
  <cp:lastModifiedBy>D3M</cp:lastModifiedBy>
  <dcterms:created xsi:type="dcterms:W3CDTF">2025-11-04T07:06:06Z</dcterms:created>
  <dcterms:modified xsi:type="dcterms:W3CDTF">2025-11-04T08:44:20Z</dcterms:modified>
</cp:coreProperties>
</file>