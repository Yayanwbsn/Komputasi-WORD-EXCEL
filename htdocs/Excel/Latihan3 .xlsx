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tdocs\Excel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G18" i="1"/>
  <c r="G17" i="1"/>
  <c r="G16" i="1"/>
  <c r="G15" i="1"/>
  <c r="G7" i="1" l="1"/>
  <c r="G8" i="1"/>
  <c r="G9" i="1"/>
  <c r="G10" i="1"/>
  <c r="E16" i="1"/>
  <c r="F16" i="1" s="1"/>
  <c r="E17" i="1"/>
  <c r="F17" i="1" s="1"/>
  <c r="E18" i="1"/>
  <c r="F18" i="1" s="1"/>
  <c r="E15" i="1"/>
  <c r="E8" i="1"/>
  <c r="F8" i="1" s="1"/>
  <c r="E9" i="1"/>
  <c r="F9" i="1" s="1"/>
  <c r="E10" i="1"/>
  <c r="F10" i="1" s="1"/>
  <c r="E7" i="1"/>
  <c r="F7" i="1" l="1"/>
  <c r="F11" i="1" s="1"/>
  <c r="I9" i="1"/>
  <c r="F15" i="1"/>
  <c r="F19" i="1" s="1"/>
  <c r="I16" i="1"/>
  <c r="I17" i="1"/>
  <c r="I15" i="1"/>
  <c r="I8" i="1"/>
  <c r="I7" i="1"/>
  <c r="E11" i="1"/>
  <c r="E19" i="1"/>
</calcChain>
</file>

<file path=xl/sharedStrings.xml><?xml version="1.0" encoding="utf-8"?>
<sst xmlns="http://schemas.openxmlformats.org/spreadsheetml/2006/main" count="46" uniqueCount="33">
  <si>
    <t>Justifikasi Anggaran Kegiatan PKM Penerapan Teknologi</t>
  </si>
  <si>
    <t>Purbaliner: Aplikasi Pemesanan Jajanan Lokal</t>
  </si>
  <si>
    <t>Oleh Fitria Kinta Nurrizki, dan Kawan-kawan</t>
  </si>
  <si>
    <t>1. Peralatan Penunjang</t>
  </si>
  <si>
    <t xml:space="preserve">Material </t>
  </si>
  <si>
    <t>Hosting dan domain</t>
  </si>
  <si>
    <t>Online Storage</t>
  </si>
  <si>
    <t>Online Project Colaboration tool</t>
  </si>
  <si>
    <t>Modem</t>
  </si>
  <si>
    <t>SUB TOTAL</t>
  </si>
  <si>
    <t>2. Bahan Habis Pakai</t>
  </si>
  <si>
    <t>Material</t>
  </si>
  <si>
    <t>Kertas A4</t>
  </si>
  <si>
    <t>Catridge Printer</t>
  </si>
  <si>
    <t>Buku Agenda</t>
  </si>
  <si>
    <t>Buku Logbook</t>
  </si>
  <si>
    <t xml:space="preserve">Justifikasi Pemakaian </t>
  </si>
  <si>
    <t>Tahun</t>
  </si>
  <si>
    <t>Bulanan</t>
  </si>
  <si>
    <t>Buah</t>
  </si>
  <si>
    <t>Rim</t>
  </si>
  <si>
    <t>Paket</t>
  </si>
  <si>
    <t>Buku</t>
  </si>
  <si>
    <t>Kuantitas</t>
  </si>
  <si>
    <t xml:space="preserve">Harga Satuan </t>
  </si>
  <si>
    <t>Jumlah</t>
  </si>
  <si>
    <t>Keterangan Kuantitas</t>
  </si>
  <si>
    <t>Jumlah + Pajak 5%</t>
  </si>
  <si>
    <t>Harga Tertinggi</t>
  </si>
  <si>
    <t>Harga Terendah</t>
  </si>
  <si>
    <t>Rata-Rata</t>
  </si>
  <si>
    <t>Jumlah Barang beli bulanan</t>
  </si>
  <si>
    <t>Analisa Harga Peralatan Penunjang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</si>
</sst>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p&quot;#,##0.00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wrapText="1"/>
    </xf>
    <xf numFmtId="164" fontId="1" fillId="0" borderId="4" xfId="0" applyNumberFormat="1" applyFont="1" applyBorder="1" applyAlignment="1">
      <alignment wrapText="1"/>
    </xf>
    <xf numFmtId="164" fontId="1" fillId="0" borderId="12" xfId="0" applyNumberFormat="1" applyFont="1" applyBorder="1" applyAlignment="1">
      <alignment wrapText="1"/>
    </xf>
    <xf numFmtId="164" fontId="1" fillId="0" borderId="7" xfId="0" applyNumberFormat="1" applyFont="1" applyBorder="1" applyAlignment="1">
      <alignment wrapText="1"/>
    </xf>
    <xf numFmtId="0" fontId="0" fillId="0" borderId="9" xfId="0" applyBorder="1"/>
    <xf numFmtId="164" fontId="0" fillId="0" borderId="1" xfId="0" applyNumberFormat="1" applyBorder="1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164" fontId="0" fillId="0" borderId="4" xfId="0" applyNumberFormat="1" applyBorder="1"/>
    <xf numFmtId="164" fontId="0" fillId="0" borderId="12" xfId="0" applyNumberFormat="1" applyBorder="1"/>
    <xf numFmtId="0" fontId="0" fillId="0" borderId="1" xfId="0" applyBorder="1" applyAlignment="1">
      <alignment horizontal="center" vertical="center"/>
    </xf>
    <xf numFmtId="164" fontId="0" fillId="0" borderId="11" xfId="0" applyNumberFormat="1" applyBorder="1"/>
    <xf numFmtId="0" fontId="0" fillId="0" borderId="2" xfId="0" applyBorder="1" applyAlignment="1">
      <alignment horizontal="center" vertical="center"/>
    </xf>
    <xf numFmtId="164" fontId="0" fillId="0" borderId="2" xfId="0" applyNumberFormat="1" applyBorder="1"/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14" xfId="0" applyBorder="1"/>
    <xf numFmtId="0" fontId="3" fillId="0" borderId="10" xfId="0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wrapText="1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topLeftCell="A4" workbookViewId="0">
      <selection activeCell="H18" sqref="H18"/>
    </sheetView>
  </sheetViews>
  <sheetFormatPr defaultRowHeight="15" x14ac:dyDescent="0.25"/>
  <cols>
    <col min="1" max="1" width="21" customWidth="1"/>
    <col min="2" max="2" width="12.85546875" customWidth="1"/>
    <col min="3" max="3" width="10.85546875" customWidth="1"/>
    <col min="4" max="4" width="14" customWidth="1"/>
    <col min="5" max="5" width="16.42578125" customWidth="1"/>
    <col min="6" max="6" width="14.85546875" customWidth="1"/>
    <col min="7" max="7" width="12.42578125" customWidth="1"/>
    <col min="8" max="8" width="17.140625" customWidth="1"/>
    <col min="9" max="9" width="15.85546875" customWidth="1"/>
  </cols>
  <sheetData>
    <row r="1" spans="1:9" x14ac:dyDescent="0.25">
      <c r="A1" s="21" t="s">
        <v>0</v>
      </c>
      <c r="B1" s="21"/>
      <c r="C1" s="21"/>
      <c r="D1" s="21"/>
      <c r="E1" s="21"/>
    </row>
    <row r="2" spans="1:9" x14ac:dyDescent="0.25">
      <c r="A2" s="21" t="s">
        <v>1</v>
      </c>
      <c r="B2" s="21"/>
      <c r="C2" s="21"/>
      <c r="D2" s="21"/>
      <c r="E2" s="21"/>
    </row>
    <row r="3" spans="1:9" x14ac:dyDescent="0.25">
      <c r="A3" s="21" t="s">
        <v>2</v>
      </c>
      <c r="B3" s="21"/>
      <c r="C3" s="21"/>
      <c r="D3" s="21"/>
      <c r="E3" s="21"/>
    </row>
    <row r="4" spans="1:9" x14ac:dyDescent="0.25">
      <c r="A4" s="21">
        <v>2016</v>
      </c>
      <c r="B4" s="21"/>
      <c r="C4" s="21"/>
      <c r="D4" s="21"/>
      <c r="E4" s="21"/>
    </row>
    <row r="5" spans="1:9" ht="15.75" thickBot="1" x14ac:dyDescent="0.3">
      <c r="A5" s="1" t="s">
        <v>3</v>
      </c>
      <c r="B5" s="1"/>
      <c r="C5" s="1"/>
      <c r="D5" s="1"/>
      <c r="E5" s="1"/>
    </row>
    <row r="6" spans="1:9" ht="45" customHeight="1" thickBot="1" x14ac:dyDescent="0.3">
      <c r="A6" s="41" t="s">
        <v>4</v>
      </c>
      <c r="B6" s="40" t="s">
        <v>16</v>
      </c>
      <c r="C6" s="8" t="s">
        <v>23</v>
      </c>
      <c r="D6" s="8" t="s">
        <v>24</v>
      </c>
      <c r="E6" s="11" t="s">
        <v>25</v>
      </c>
      <c r="F6" s="36" t="s">
        <v>27</v>
      </c>
      <c r="G6" s="28" t="s">
        <v>26</v>
      </c>
      <c r="H6" s="29" t="s">
        <v>32</v>
      </c>
      <c r="I6" s="30"/>
    </row>
    <row r="7" spans="1:9" x14ac:dyDescent="0.25">
      <c r="A7" s="5" t="s">
        <v>5</v>
      </c>
      <c r="B7" s="5" t="s">
        <v>17</v>
      </c>
      <c r="C7" s="5">
        <v>1</v>
      </c>
      <c r="D7" s="6">
        <v>2000000</v>
      </c>
      <c r="E7" s="12">
        <f>D7*C7</f>
        <v>2000000</v>
      </c>
      <c r="F7" s="25">
        <f>E7+(E7*5/100)</f>
        <v>2100000</v>
      </c>
      <c r="G7" s="26" t="str">
        <f>IF(C7&gt;2,"Banyak","Sedikit")</f>
        <v>Sedikit</v>
      </c>
      <c r="H7" s="26" t="s">
        <v>28</v>
      </c>
      <c r="I7" s="27">
        <f>MAX(E7:E10)</f>
        <v>10000000</v>
      </c>
    </row>
    <row r="8" spans="1:9" x14ac:dyDescent="0.25">
      <c r="A8" s="2" t="s">
        <v>6</v>
      </c>
      <c r="B8" s="2" t="s">
        <v>18</v>
      </c>
      <c r="C8" s="2">
        <v>5</v>
      </c>
      <c r="D8" s="3">
        <v>2000000</v>
      </c>
      <c r="E8" s="13">
        <f t="shared" ref="E8:E10" si="0">D8*C8</f>
        <v>10000000</v>
      </c>
      <c r="F8" s="22">
        <f t="shared" ref="F8:F10" si="1">E8+(E8*5/100)</f>
        <v>10500000</v>
      </c>
      <c r="G8" s="24" t="str">
        <f>IF(C8&gt;2,"Banyak","Sedikit")</f>
        <v>Banyak</v>
      </c>
      <c r="H8" s="24" t="s">
        <v>29</v>
      </c>
      <c r="I8" s="17">
        <f>MIN(E7:E10)</f>
        <v>2000000</v>
      </c>
    </row>
    <row r="9" spans="1:9" ht="30" x14ac:dyDescent="0.25">
      <c r="A9" s="2" t="s">
        <v>7</v>
      </c>
      <c r="B9" s="2" t="s">
        <v>18</v>
      </c>
      <c r="C9" s="2">
        <v>5</v>
      </c>
      <c r="D9" s="3">
        <v>2000000</v>
      </c>
      <c r="E9" s="13">
        <f t="shared" si="0"/>
        <v>10000000</v>
      </c>
      <c r="F9" s="22">
        <f t="shared" si="1"/>
        <v>10500000</v>
      </c>
      <c r="G9" s="24" t="str">
        <f>IF(C9&gt;2,"Banyak","Sedikit")</f>
        <v>Banyak</v>
      </c>
      <c r="H9" s="24" t="s">
        <v>30</v>
      </c>
      <c r="I9" s="17">
        <f>AVERAGE(E7:E10)</f>
        <v>6000000</v>
      </c>
    </row>
    <row r="10" spans="1:9" ht="15.75" thickBot="1" x14ac:dyDescent="0.3">
      <c r="A10" s="10" t="s">
        <v>8</v>
      </c>
      <c r="B10" s="10" t="s">
        <v>19</v>
      </c>
      <c r="C10" s="10">
        <v>1</v>
      </c>
      <c r="D10" s="4">
        <v>2000000</v>
      </c>
      <c r="E10" s="14">
        <f t="shared" si="0"/>
        <v>2000000</v>
      </c>
      <c r="F10" s="23">
        <f t="shared" si="1"/>
        <v>2100000</v>
      </c>
      <c r="G10" s="31" t="str">
        <f>IF(C10&gt;2,"Banyak","Sedikit")</f>
        <v>Sedikit</v>
      </c>
      <c r="H10" s="31"/>
      <c r="I10" s="32"/>
    </row>
    <row r="11" spans="1:9" ht="15.75" thickBot="1" x14ac:dyDescent="0.3">
      <c r="A11" s="18" t="s">
        <v>9</v>
      </c>
      <c r="B11" s="19"/>
      <c r="C11" s="19"/>
      <c r="D11" s="20"/>
      <c r="E11" s="15">
        <f>SUM(E7:E10)</f>
        <v>24000000</v>
      </c>
      <c r="F11" s="37">
        <f>SUM(F7:F10)</f>
        <v>25200000</v>
      </c>
      <c r="G11" s="38"/>
      <c r="H11" s="38"/>
      <c r="I11" s="39"/>
    </row>
    <row r="12" spans="1:9" x14ac:dyDescent="0.25">
      <c r="A12" s="9"/>
      <c r="B12" s="9"/>
      <c r="C12" s="9"/>
      <c r="D12" s="9"/>
      <c r="E12" s="9"/>
      <c r="G12" s="33"/>
      <c r="H12" s="33"/>
      <c r="I12" s="34"/>
    </row>
    <row r="13" spans="1:9" ht="15.75" thickBot="1" x14ac:dyDescent="0.3">
      <c r="A13" s="9" t="s">
        <v>10</v>
      </c>
      <c r="B13" s="9"/>
      <c r="C13" s="9"/>
      <c r="D13" s="9"/>
      <c r="E13" s="9"/>
    </row>
    <row r="14" spans="1:9" ht="30.75" thickBot="1" x14ac:dyDescent="0.3">
      <c r="A14" s="7" t="s">
        <v>11</v>
      </c>
      <c r="B14" s="8" t="s">
        <v>16</v>
      </c>
      <c r="C14" s="8" t="s">
        <v>23</v>
      </c>
      <c r="D14" s="8" t="s">
        <v>24</v>
      </c>
      <c r="E14" s="11" t="s">
        <v>25</v>
      </c>
      <c r="F14" s="36" t="s">
        <v>27</v>
      </c>
      <c r="G14" s="28" t="s">
        <v>26</v>
      </c>
      <c r="H14" s="29" t="s">
        <v>32</v>
      </c>
      <c r="I14" s="30"/>
    </row>
    <row r="15" spans="1:9" x14ac:dyDescent="0.25">
      <c r="A15" s="5" t="s">
        <v>12</v>
      </c>
      <c r="B15" s="5" t="s">
        <v>20</v>
      </c>
      <c r="C15" s="5">
        <v>4</v>
      </c>
      <c r="D15" s="6">
        <v>50000</v>
      </c>
      <c r="E15" s="12">
        <f>D15*C15</f>
        <v>200000</v>
      </c>
      <c r="F15" s="25">
        <f>E15+(E15*5/100)</f>
        <v>210000</v>
      </c>
      <c r="G15" s="26" t="str">
        <f>IF(C15&gt;2,"Banyak","Sedikit")</f>
        <v>Banyak</v>
      </c>
      <c r="H15" s="26" t="s">
        <v>28</v>
      </c>
      <c r="I15" s="27">
        <f>MAX(E15:E18)</f>
        <v>200000</v>
      </c>
    </row>
    <row r="16" spans="1:9" x14ac:dyDescent="0.25">
      <c r="A16" s="2" t="s">
        <v>13</v>
      </c>
      <c r="B16" s="2" t="s">
        <v>21</v>
      </c>
      <c r="C16" s="2">
        <v>4</v>
      </c>
      <c r="D16" s="3">
        <v>50000</v>
      </c>
      <c r="E16" s="13">
        <f t="shared" ref="E16:E18" si="2">D16*C16</f>
        <v>200000</v>
      </c>
      <c r="F16" s="22">
        <f t="shared" ref="F16:F18" si="3">E16+(E16*5/100)</f>
        <v>210000</v>
      </c>
      <c r="G16" s="24" t="str">
        <f>IF(C16&gt;2,"Banyak","Sedikit")</f>
        <v>Banyak</v>
      </c>
      <c r="H16" s="24" t="s">
        <v>29</v>
      </c>
      <c r="I16" s="17">
        <f>MIN(E15:E18)</f>
        <v>100000</v>
      </c>
    </row>
    <row r="17" spans="1:9" x14ac:dyDescent="0.25">
      <c r="A17" s="2" t="s">
        <v>14</v>
      </c>
      <c r="B17" s="2" t="s">
        <v>22</v>
      </c>
      <c r="C17" s="2">
        <v>2</v>
      </c>
      <c r="D17" s="3">
        <v>50000</v>
      </c>
      <c r="E17" s="13">
        <f t="shared" si="2"/>
        <v>100000</v>
      </c>
      <c r="F17" s="22">
        <f t="shared" si="3"/>
        <v>105000</v>
      </c>
      <c r="G17" s="24" t="str">
        <f>IF(C17&gt;2,"Banyak","Sedikit")</f>
        <v>Sedikit</v>
      </c>
      <c r="H17" s="24" t="s">
        <v>30</v>
      </c>
      <c r="I17" s="17">
        <f>AVERAGE(E15:E18)</f>
        <v>150000</v>
      </c>
    </row>
    <row r="18" spans="1:9" ht="15.75" thickBot="1" x14ac:dyDescent="0.3">
      <c r="A18" s="10" t="s">
        <v>15</v>
      </c>
      <c r="B18" s="10" t="s">
        <v>22</v>
      </c>
      <c r="C18" s="10">
        <v>2</v>
      </c>
      <c r="D18" s="4">
        <v>50000</v>
      </c>
      <c r="E18" s="14">
        <f t="shared" si="2"/>
        <v>100000</v>
      </c>
      <c r="F18" s="23">
        <f t="shared" si="3"/>
        <v>105000</v>
      </c>
      <c r="G18" s="31" t="str">
        <f>IF(C18&gt;2,"Banyak","Sedikit")</f>
        <v>Sedikit</v>
      </c>
      <c r="H18" s="31"/>
      <c r="I18" s="32"/>
    </row>
    <row r="19" spans="1:9" ht="15.75" thickBot="1" x14ac:dyDescent="0.3">
      <c r="A19" s="18" t="s">
        <v>9</v>
      </c>
      <c r="B19" s="19"/>
      <c r="C19" s="19"/>
      <c r="D19" s="20"/>
      <c r="E19" s="37">
        <f>SUM(E15:E18)</f>
        <v>600000</v>
      </c>
      <c r="F19" s="37">
        <f>SUM(F15:F18)</f>
        <v>630000</v>
      </c>
      <c r="G19" s="38"/>
      <c r="H19" s="38"/>
      <c r="I19" s="16"/>
    </row>
    <row r="21" spans="1:9" ht="15.75" thickBot="1" x14ac:dyDescent="0.3"/>
    <row r="22" spans="1:9" ht="15.75" thickBot="1" x14ac:dyDescent="0.3">
      <c r="G22" s="42" t="s">
        <v>31</v>
      </c>
      <c r="H22" s="43"/>
      <c r="I22" s="35">
        <f>COUNTIF(B7:B10,"Bulanan")</f>
        <v>2</v>
      </c>
    </row>
  </sheetData>
  <mergeCells count="10">
    <mergeCell ref="H6:I6"/>
    <mergeCell ref="H14:I14"/>
    <mergeCell ref="G12:H12"/>
    <mergeCell ref="G22:H22"/>
    <mergeCell ref="A11:D11"/>
    <mergeCell ref="A19:D19"/>
    <mergeCell ref="A3:E3"/>
    <mergeCell ref="A1:E1"/>
    <mergeCell ref="A2:E2"/>
    <mergeCell ref="A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D3M</dc:creator>
  <cp:lastModifiedBy>D3M</cp:lastModifiedBy>
  <cp:lastPrinted>2025-09-30T08:10:43Z</cp:lastPrinted>
  <dcterms:created xsi:type="dcterms:W3CDTF">2025-09-30T07:29:56Z</dcterms:created>
  <dcterms:modified xsi:type="dcterms:W3CDTF">2025-09-30T08:46:48Z</dcterms:modified>
</cp:coreProperties>
</file>