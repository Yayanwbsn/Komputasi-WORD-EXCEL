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NUS\htdocs\Excel\"/>
    </mc:Choice>
  </mc:AlternateContent>
  <bookViews>
    <workbookView xWindow="0" yWindow="0" windowWidth="19200" windowHeight="11595"/>
  </bookViews>
  <sheets>
    <sheet name="Mahasiswa" sheetId="1" r:id="rId1"/>
    <sheet name="Contoh" sheetId="4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J23" i="1"/>
  <c r="J22" i="1"/>
  <c r="J21" i="1"/>
  <c r="L19" i="1"/>
  <c r="L18" i="1"/>
  <c r="O6" i="1" l="1"/>
  <c r="O7" i="1"/>
  <c r="O8" i="1"/>
  <c r="O9" i="1"/>
  <c r="O10" i="1"/>
  <c r="O11" i="1"/>
  <c r="O12" i="1"/>
  <c r="O13" i="1"/>
  <c r="O14" i="1"/>
  <c r="O5" i="1"/>
  <c r="N6" i="1"/>
  <c r="N7" i="1"/>
  <c r="N8" i="1"/>
  <c r="N9" i="1"/>
  <c r="N10" i="1"/>
  <c r="N11" i="1"/>
  <c r="N12" i="1"/>
  <c r="N13" i="1"/>
  <c r="N14" i="1"/>
  <c r="N5" i="1"/>
  <c r="L6" i="1"/>
  <c r="L7" i="1"/>
  <c r="L8" i="1"/>
  <c r="L9" i="1"/>
  <c r="L10" i="1"/>
  <c r="L11" i="1"/>
  <c r="L12" i="1"/>
  <c r="L13" i="1"/>
  <c r="L14" i="1"/>
  <c r="L5" i="1"/>
  <c r="K6" i="1"/>
  <c r="K7" i="1"/>
  <c r="K8" i="1"/>
  <c r="K9" i="1"/>
  <c r="K10" i="1"/>
  <c r="K11" i="1"/>
  <c r="K12" i="1"/>
  <c r="K13" i="1"/>
  <c r="K14" i="1"/>
  <c r="K5" i="1"/>
  <c r="J6" i="1"/>
  <c r="J7" i="1"/>
  <c r="J8" i="1"/>
  <c r="J9" i="1"/>
  <c r="J10" i="1"/>
  <c r="J11" i="1"/>
  <c r="J12" i="1"/>
  <c r="J13" i="1"/>
  <c r="J14" i="1"/>
  <c r="J5" i="1"/>
  <c r="F6" i="1"/>
  <c r="F7" i="1"/>
  <c r="F8" i="1"/>
  <c r="F9" i="1"/>
  <c r="F10" i="1"/>
  <c r="F11" i="1"/>
  <c r="F12" i="1"/>
  <c r="F13" i="1"/>
  <c r="F14" i="1"/>
  <c r="F5" i="1"/>
  <c r="E6" i="1"/>
  <c r="E7" i="1"/>
  <c r="E8" i="1"/>
  <c r="E9" i="1"/>
  <c r="E10" i="1"/>
  <c r="E11" i="1"/>
  <c r="E12" i="1"/>
  <c r="E13" i="1"/>
  <c r="E14" i="1"/>
  <c r="E5" i="1"/>
  <c r="L24" i="1" l="1"/>
  <c r="L23" i="1"/>
  <c r="L22" i="1"/>
  <c r="L21" i="1"/>
  <c r="L17" i="1"/>
  <c r="L25" i="1"/>
  <c r="D6" i="1"/>
  <c r="D7" i="1"/>
  <c r="D8" i="1"/>
  <c r="D9" i="1"/>
  <c r="D10" i="1"/>
  <c r="D11" i="1"/>
  <c r="D12" i="1"/>
  <c r="D13" i="1"/>
  <c r="D14" i="1"/>
  <c r="D5" i="1"/>
  <c r="W3" i="4" l="1"/>
  <c r="W4" i="4"/>
  <c r="W2" i="4"/>
  <c r="V3" i="4"/>
  <c r="V4" i="4"/>
  <c r="V2" i="4"/>
  <c r="Q4" i="4"/>
  <c r="Q5" i="4"/>
  <c r="Q3" i="4"/>
  <c r="K3" i="4"/>
  <c r="K4" i="4"/>
  <c r="K5" i="4"/>
  <c r="K6" i="4"/>
  <c r="K2" i="4"/>
  <c r="C4" i="4"/>
  <c r="C3" i="4"/>
  <c r="C2" i="4"/>
</calcChain>
</file>

<file path=xl/sharedStrings.xml><?xml version="1.0" encoding="utf-8"?>
<sst xmlns="http://schemas.openxmlformats.org/spreadsheetml/2006/main" count="150" uniqueCount="116">
  <si>
    <t>No</t>
  </si>
  <si>
    <t>NIM</t>
  </si>
  <si>
    <t>Nama</t>
  </si>
  <si>
    <t>Tahun Masuk</t>
  </si>
  <si>
    <t>Sarah</t>
  </si>
  <si>
    <t>Mira</t>
  </si>
  <si>
    <t>Michelle</t>
  </si>
  <si>
    <t>Farah</t>
  </si>
  <si>
    <t>Hana</t>
  </si>
  <si>
    <t>Ryan</t>
  </si>
  <si>
    <t>Jack</t>
  </si>
  <si>
    <t>Akmal</t>
  </si>
  <si>
    <t>Alam</t>
  </si>
  <si>
    <t>Haris</t>
  </si>
  <si>
    <t>A11.2013.12345</t>
  </si>
  <si>
    <t>A11.2011.00189</t>
  </si>
  <si>
    <t>A14.2010.00121</t>
  </si>
  <si>
    <t>A12.2013.12283</t>
  </si>
  <si>
    <t>A14.2010.00122</t>
  </si>
  <si>
    <t>A12.2012.11009</t>
  </si>
  <si>
    <t>A11.2012.09876</t>
  </si>
  <si>
    <t>Progdi</t>
  </si>
  <si>
    <t>Kode Progdi</t>
  </si>
  <si>
    <t>A11</t>
  </si>
  <si>
    <t>Teknik Informatika</t>
  </si>
  <si>
    <t>A12</t>
  </si>
  <si>
    <t>Sistem Informasi</t>
  </si>
  <si>
    <t>A14</t>
  </si>
  <si>
    <t>Desain Komunikasi Visual</t>
  </si>
  <si>
    <t>A15.2010.00100</t>
  </si>
  <si>
    <t>A15.2011.00111</t>
  </si>
  <si>
    <t>A15.2011.00113</t>
  </si>
  <si>
    <t>A15</t>
  </si>
  <si>
    <t>Ilmu Komunikasi</t>
  </si>
  <si>
    <t>Nilai Dasar Komputasi</t>
  </si>
  <si>
    <t>UTS</t>
  </si>
  <si>
    <t>UAS</t>
  </si>
  <si>
    <t>Tugas</t>
  </si>
  <si>
    <t>Nilai Akhir</t>
  </si>
  <si>
    <t>Huruf ke-5 sampai ke-8 pada NIM</t>
  </si>
  <si>
    <t>UTS 30% + UAS 30 % + Tugas 40 %</t>
  </si>
  <si>
    <t>Nilai Huruf</t>
  </si>
  <si>
    <t>Tahun Harus Lulus</t>
  </si>
  <si>
    <t>Keterangan Kelulusan</t>
  </si>
  <si>
    <t>90 - 100</t>
  </si>
  <si>
    <t>A</t>
  </si>
  <si>
    <t>80 - &lt; 90</t>
  </si>
  <si>
    <t>AB</t>
  </si>
  <si>
    <t>70 - &lt; 80</t>
  </si>
  <si>
    <t>B</t>
  </si>
  <si>
    <t>BC</t>
  </si>
  <si>
    <t>C</t>
  </si>
  <si>
    <t>Tahun masuk + 4</t>
  </si>
  <si>
    <t>Tahun Lulus</t>
  </si>
  <si>
    <t>Jika Tahun Harus Lulus &lt; Tahun Lulus</t>
  </si>
  <si>
    <t>Cepat</t>
  </si>
  <si>
    <t>Jika Tahun Harus Lulus &gt; Tahun Lulus</t>
  </si>
  <si>
    <t>Terlambat</t>
  </si>
  <si>
    <t>Jika Tahun Harus Lulus = Tahun Lulus</t>
  </si>
  <si>
    <t>Tepat</t>
  </si>
  <si>
    <t>Jika tidak</t>
  </si>
  <si>
    <t>Petunjuk</t>
  </si>
  <si>
    <t>Analisa</t>
  </si>
  <si>
    <t>Nilai Akhir Terendah</t>
  </si>
  <si>
    <t>Nilai Akhir Tertinggi</t>
  </si>
  <si>
    <t>Nilai Rata-Rata</t>
  </si>
  <si>
    <t>Jumlah Siswa</t>
  </si>
  <si>
    <t>Siswa Lulus Tepat</t>
  </si>
  <si>
    <t>Mahasiswa</t>
  </si>
  <si>
    <t>Teks</t>
  </si>
  <si>
    <t>UDINUS</t>
  </si>
  <si>
    <t>3 huruf dari kiri</t>
  </si>
  <si>
    <t>2 huruf dari kanan</t>
  </si>
  <si>
    <t>3 huruf di tengah, dari huruf ke 2</t>
  </si>
  <si>
    <t>Slide 3, 4</t>
  </si>
  <si>
    <t>Nilai</t>
  </si>
  <si>
    <t>Konversi</t>
  </si>
  <si>
    <t>85-100</t>
  </si>
  <si>
    <t>75-84</t>
  </si>
  <si>
    <t>0-74</t>
  </si>
  <si>
    <t>Huruf</t>
  </si>
  <si>
    <t>&gt;100</t>
  </si>
  <si>
    <t>Tidak Valid</t>
  </si>
  <si>
    <t>Syarat</t>
  </si>
  <si>
    <t>Angka</t>
  </si>
  <si>
    <t>Abjad</t>
  </si>
  <si>
    <t>Lain</t>
  </si>
  <si>
    <t>Satu</t>
  </si>
  <si>
    <t>Dua</t>
  </si>
  <si>
    <t>Tiga</t>
  </si>
  <si>
    <t>Cari IF</t>
  </si>
  <si>
    <t>Referensi</t>
  </si>
  <si>
    <t>Slide 7</t>
  </si>
  <si>
    <t>Slide 9</t>
  </si>
  <si>
    <t>&gt; 100</t>
  </si>
  <si>
    <t>Tidak valid</t>
  </si>
  <si>
    <t>Slide 8</t>
  </si>
  <si>
    <t>60 - &lt; 70</t>
  </si>
  <si>
    <t>&lt; 60</t>
  </si>
  <si>
    <t>Mudah</t>
  </si>
  <si>
    <t>Jika Tidak</t>
  </si>
  <si>
    <t>Lusa</t>
  </si>
  <si>
    <t>Kemarin</t>
  </si>
  <si>
    <t>Jika lusa dan kemarin hujan, maka hari ini hujan</t>
  </si>
  <si>
    <t>Hari Ini (AND)</t>
  </si>
  <si>
    <t>Hari Ini (OR)</t>
  </si>
  <si>
    <t>Hujan</t>
  </si>
  <si>
    <t>Tidak</t>
  </si>
  <si>
    <t>AND</t>
  </si>
  <si>
    <t>OR</t>
  </si>
  <si>
    <t>Jika lusa atau kemarin hujan, maka hari ini hujan</t>
  </si>
  <si>
    <t>Slide 10</t>
  </si>
  <si>
    <t>Penghargaan</t>
  </si>
  <si>
    <t>Jika Nilai Huruf A dan Lulus Cepat</t>
  </si>
  <si>
    <t>Ya</t>
  </si>
  <si>
    <t>Huruf pertama sampai ke-3 pada 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</si>
</sst>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6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  <xf numFmtId="0" fontId="0" fillId="10" borderId="14" xfId="0" applyFill="1" applyBorder="1"/>
    <xf numFmtId="0" fontId="0" fillId="4" borderId="22" xfId="0" applyFill="1" applyBorder="1"/>
    <xf numFmtId="0" fontId="0" fillId="4" borderId="0" xfId="0" applyFill="1"/>
    <xf numFmtId="0" fontId="0" fillId="7" borderId="22" xfId="0" applyFill="1" applyBorder="1"/>
    <xf numFmtId="0" fontId="0" fillId="7" borderId="0" xfId="0" applyFill="1"/>
    <xf numFmtId="0" fontId="0" fillId="8" borderId="22" xfId="0" applyFill="1" applyBorder="1"/>
    <xf numFmtId="0" fontId="0" fillId="8" borderId="0" xfId="0" applyFill="1"/>
    <xf numFmtId="0" fontId="0" fillId="10" borderId="22" xfId="0" applyFill="1" applyBorder="1"/>
    <xf numFmtId="0" fontId="0" fillId="10" borderId="0" xfId="0" applyFill="1"/>
    <xf numFmtId="0" fontId="0" fillId="10" borderId="23" xfId="0" applyFill="1" applyBorder="1"/>
    <xf numFmtId="0" fontId="0" fillId="10" borderId="24" xfId="0" applyFill="1" applyBorder="1"/>
    <xf numFmtId="0" fontId="0" fillId="4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1" borderId="14" xfId="0" applyFill="1" applyBorder="1"/>
    <xf numFmtId="0" fontId="1" fillId="3" borderId="22" xfId="0" applyFont="1" applyFill="1" applyBorder="1"/>
    <xf numFmtId="0" fontId="1" fillId="3" borderId="0" xfId="0" applyFont="1" applyFill="1"/>
    <xf numFmtId="0" fontId="1" fillId="3" borderId="3" xfId="0" applyFont="1" applyFill="1" applyBorder="1"/>
    <xf numFmtId="0" fontId="1" fillId="4" borderId="22" xfId="0" applyFont="1" applyFill="1" applyBorder="1"/>
    <xf numFmtId="0" fontId="1" fillId="4" borderId="0" xfId="0" applyFont="1" applyFill="1"/>
    <xf numFmtId="0" fontId="1" fillId="4" borderId="3" xfId="0" applyFont="1" applyFill="1" applyBorder="1"/>
    <xf numFmtId="0" fontId="1" fillId="5" borderId="22" xfId="0" applyFont="1" applyFill="1" applyBorder="1"/>
    <xf numFmtId="0" fontId="1" fillId="5" borderId="0" xfId="0" applyFont="1" applyFill="1"/>
    <xf numFmtId="0" fontId="1" fillId="5" borderId="3" xfId="0" applyFont="1" applyFill="1" applyBorder="1"/>
    <xf numFmtId="0" fontId="1" fillId="6" borderId="22" xfId="0" applyFont="1" applyFill="1" applyBorder="1"/>
    <xf numFmtId="0" fontId="1" fillId="6" borderId="0" xfId="0" applyFont="1" applyFill="1"/>
    <xf numFmtId="0" fontId="1" fillId="6" borderId="3" xfId="0" applyFont="1" applyFill="1" applyBorder="1"/>
    <xf numFmtId="0" fontId="1" fillId="7" borderId="22" xfId="0" applyFont="1" applyFill="1" applyBorder="1"/>
    <xf numFmtId="0" fontId="1" fillId="7" borderId="0" xfId="0" applyFont="1" applyFill="1"/>
    <xf numFmtId="0" fontId="1" fillId="7" borderId="3" xfId="0" applyFont="1" applyFill="1" applyBorder="1"/>
    <xf numFmtId="0" fontId="1" fillId="9" borderId="22" xfId="0" applyFont="1" applyFill="1" applyBorder="1"/>
    <xf numFmtId="0" fontId="1" fillId="9" borderId="0" xfId="0" applyFont="1" applyFill="1"/>
    <xf numFmtId="0" fontId="1" fillId="9" borderId="3" xfId="0" applyFont="1" applyFill="1" applyBorder="1"/>
    <xf numFmtId="0" fontId="1" fillId="8" borderId="22" xfId="0" applyFont="1" applyFill="1" applyBorder="1"/>
    <xf numFmtId="0" fontId="1" fillId="8" borderId="0" xfId="0" applyFont="1" applyFill="1"/>
    <xf numFmtId="0" fontId="1" fillId="8" borderId="3" xfId="0" applyFont="1" applyFill="1" applyBorder="1"/>
    <xf numFmtId="0" fontId="1" fillId="10" borderId="22" xfId="0" applyFont="1" applyFill="1" applyBorder="1"/>
    <xf numFmtId="0" fontId="1" fillId="10" borderId="0" xfId="0" applyFont="1" applyFill="1"/>
    <xf numFmtId="0" fontId="1" fillId="10" borderId="3" xfId="0" applyFont="1" applyFill="1" applyBorder="1"/>
    <xf numFmtId="0" fontId="1" fillId="0" borderId="1" xfId="0" applyFont="1" applyBorder="1"/>
    <xf numFmtId="0" fontId="1" fillId="0" borderId="5" xfId="0" applyFont="1" applyBorder="1" applyAlignment="1">
      <alignment horizontal="center" vertical="center"/>
    </xf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0" fontId="0" fillId="0" borderId="27" xfId="0" applyBorder="1"/>
    <xf numFmtId="0" fontId="0" fillId="11" borderId="19" xfId="0" applyFill="1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9" borderId="7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9933"/>
      <color rgb="FFFF6600"/>
      <color rgb="FF00FFFF"/>
      <color rgb="FF6666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topLeftCell="C1" workbookViewId="0">
      <selection activeCell="L21" sqref="L21"/>
    </sheetView>
  </sheetViews>
  <sheetFormatPr defaultRowHeight="15" x14ac:dyDescent="0.25"/>
  <cols>
    <col min="1" max="1" width="4.42578125" customWidth="1"/>
    <col min="2" max="2" width="17" customWidth="1"/>
    <col min="4" max="4" width="13.42578125" customWidth="1"/>
    <col min="5" max="5" width="21.28515625" customWidth="1"/>
    <col min="6" max="6" width="11.5703125" customWidth="1"/>
    <col min="10" max="10" width="13.42578125" customWidth="1"/>
    <col min="11" max="11" width="13" customWidth="1"/>
    <col min="12" max="12" width="14" customWidth="1"/>
    <col min="13" max="13" width="14.140625" customWidth="1"/>
    <col min="14" max="14" width="12.42578125" customWidth="1"/>
    <col min="15" max="15" width="13.140625" customWidth="1"/>
  </cols>
  <sheetData>
    <row r="1" spans="1:15" x14ac:dyDescent="0.25">
      <c r="A1" s="88" t="s">
        <v>68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ht="15.75" thickBot="1" x14ac:dyDescent="0.3"/>
    <row r="3" spans="1:15" ht="15.75" thickBot="1" x14ac:dyDescent="0.3">
      <c r="A3" s="92" t="s">
        <v>0</v>
      </c>
      <c r="B3" s="82" t="s">
        <v>1</v>
      </c>
      <c r="C3" s="82" t="s">
        <v>2</v>
      </c>
      <c r="D3" s="94" t="s">
        <v>22</v>
      </c>
      <c r="E3" s="96" t="s">
        <v>21</v>
      </c>
      <c r="F3" s="98" t="s">
        <v>3</v>
      </c>
      <c r="G3" s="89" t="s">
        <v>34</v>
      </c>
      <c r="H3" s="90"/>
      <c r="I3" s="91"/>
      <c r="J3" s="100" t="s">
        <v>38</v>
      </c>
      <c r="K3" s="102" t="s">
        <v>41</v>
      </c>
      <c r="L3" s="80" t="s">
        <v>42</v>
      </c>
      <c r="M3" s="82" t="s">
        <v>53</v>
      </c>
      <c r="N3" s="84" t="s">
        <v>43</v>
      </c>
      <c r="O3" s="86" t="s">
        <v>112</v>
      </c>
    </row>
    <row r="4" spans="1:15" ht="15.75" thickBot="1" x14ac:dyDescent="0.3">
      <c r="A4" s="93"/>
      <c r="B4" s="83"/>
      <c r="C4" s="83"/>
      <c r="D4" s="95"/>
      <c r="E4" s="97"/>
      <c r="F4" s="99"/>
      <c r="G4" s="61" t="s">
        <v>35</v>
      </c>
      <c r="H4" s="61" t="s">
        <v>36</v>
      </c>
      <c r="I4" s="61" t="s">
        <v>37</v>
      </c>
      <c r="J4" s="101"/>
      <c r="K4" s="103"/>
      <c r="L4" s="81"/>
      <c r="M4" s="83"/>
      <c r="N4" s="85"/>
      <c r="O4" s="87"/>
    </row>
    <row r="5" spans="1:15" x14ac:dyDescent="0.25">
      <c r="A5" s="7">
        <v>1</v>
      </c>
      <c r="B5" s="2" t="s">
        <v>14</v>
      </c>
      <c r="C5" s="2" t="s">
        <v>4</v>
      </c>
      <c r="D5" s="12" t="str">
        <f>LEFT(B5,3)</f>
        <v>A11</v>
      </c>
      <c r="E5" s="13" t="str">
        <f>IF(D5="A11","Teknik Informatika",IF(D5="A12","Sistem Informatika",IF(D5="A13","Desain Komunikasi Visual","Ilmu Komunikasi")))</f>
        <v>Teknik Informatika</v>
      </c>
      <c r="F5" s="14" t="str">
        <f>MID(B5,5,4)</f>
        <v>2013</v>
      </c>
      <c r="G5" s="2">
        <v>30</v>
      </c>
      <c r="H5" s="2">
        <v>90</v>
      </c>
      <c r="I5" s="2">
        <v>100</v>
      </c>
      <c r="J5" s="15">
        <f>(G5*30%)+(H5*30%)+(I5*40%)</f>
        <v>76</v>
      </c>
      <c r="K5" s="16" t="str">
        <f>IF(J5&gt;100,"Tidak Valid",IF(J5&gt;90,"A",IF(J5&gt;80,"AB",IF(J5&gt;70,"B",IF(J5&gt;60,"BC",IF(J5&lt;60,"C"))))))</f>
        <v>B</v>
      </c>
      <c r="L5" s="18">
        <f>F5+4</f>
        <v>2017</v>
      </c>
      <c r="M5" s="2">
        <v>2017</v>
      </c>
      <c r="N5" s="17" t="str">
        <f>IF(L5&lt;M5,"Terlambat",IF(L5&gt;M5,"Cepat",IF(L5=M5,"Tepat","Tidak Valid")))</f>
        <v>Tepat</v>
      </c>
      <c r="O5" s="19" t="str">
        <f>IF(AND(K5="A",N5="Cepat"),"Ya","Tidak")</f>
        <v>Tidak</v>
      </c>
    </row>
    <row r="6" spans="1:15" x14ac:dyDescent="0.25">
      <c r="A6" s="4">
        <v>2</v>
      </c>
      <c r="B6" s="3" t="s">
        <v>15</v>
      </c>
      <c r="C6" s="3" t="s">
        <v>5</v>
      </c>
      <c r="D6" s="12" t="str">
        <f t="shared" ref="D6:D14" si="0">LEFT(B6,3)</f>
        <v>A11</v>
      </c>
      <c r="E6" s="13" t="str">
        <f t="shared" ref="E6:E14" si="1">IF(D6="A11","Teknik Informatika",IF(D6="A12","Sistem Informatika",IF(D6="A13","Desain Komunikasi Visual","Ilmu Komunikasi")))</f>
        <v>Teknik Informatika</v>
      </c>
      <c r="F6" s="14" t="str">
        <f t="shared" ref="F6:F14" si="2">MID(B6,5,4)</f>
        <v>2011</v>
      </c>
      <c r="G6" s="3">
        <v>65</v>
      </c>
      <c r="H6" s="3">
        <v>78</v>
      </c>
      <c r="I6" s="3">
        <v>70</v>
      </c>
      <c r="J6" s="15">
        <f t="shared" ref="J6:J14" si="3">(G6*30%)+(H6*30%)+(I6*40%)</f>
        <v>70.900000000000006</v>
      </c>
      <c r="K6" s="16" t="str">
        <f t="shared" ref="K6:K14" si="4">IF(J6&gt;100,"Tidak Valid",IF(J6&gt;90,"A",IF(J6&gt;80,"AB",IF(J6&gt;70,"B",IF(J6&gt;60,"BC",IF(J6&lt;60,"C"))))))</f>
        <v>B</v>
      </c>
      <c r="L6" s="18">
        <f t="shared" ref="L6:L14" si="5">F6+4</f>
        <v>2015</v>
      </c>
      <c r="M6" s="3">
        <v>2017</v>
      </c>
      <c r="N6" s="17" t="str">
        <f t="shared" ref="N6:N14" si="6">IF(L6&lt;M6,"Terlambat",IF(L6&gt;M6,"Cepat",IF(L6=M6,"Tepat","Tidak Valid")))</f>
        <v>Terlambat</v>
      </c>
      <c r="O6" s="19" t="str">
        <f t="shared" ref="O6:O14" si="7">IF(AND(K6="A",N6="Cepat"),"Ya","Tidak")</f>
        <v>Tidak</v>
      </c>
    </row>
    <row r="7" spans="1:15" x14ac:dyDescent="0.25">
      <c r="A7" s="4">
        <v>3</v>
      </c>
      <c r="B7" s="3" t="s">
        <v>16</v>
      </c>
      <c r="C7" s="3" t="s">
        <v>6</v>
      </c>
      <c r="D7" s="12" t="str">
        <f t="shared" si="0"/>
        <v>A14</v>
      </c>
      <c r="E7" s="13" t="str">
        <f t="shared" si="1"/>
        <v>Ilmu Komunikasi</v>
      </c>
      <c r="F7" s="14" t="str">
        <f t="shared" si="2"/>
        <v>2010</v>
      </c>
      <c r="G7" s="3">
        <v>55</v>
      </c>
      <c r="H7" s="3">
        <v>55</v>
      </c>
      <c r="I7" s="3">
        <v>100</v>
      </c>
      <c r="J7" s="15">
        <f t="shared" si="3"/>
        <v>73</v>
      </c>
      <c r="K7" s="16" t="str">
        <f t="shared" si="4"/>
        <v>B</v>
      </c>
      <c r="L7" s="18">
        <f t="shared" si="5"/>
        <v>2014</v>
      </c>
      <c r="M7" s="3">
        <v>2013</v>
      </c>
      <c r="N7" s="17" t="str">
        <f t="shared" si="6"/>
        <v>Cepat</v>
      </c>
      <c r="O7" s="19" t="str">
        <f t="shared" si="7"/>
        <v>Tidak</v>
      </c>
    </row>
    <row r="8" spans="1:15" x14ac:dyDescent="0.25">
      <c r="A8" s="4">
        <v>4</v>
      </c>
      <c r="B8" s="3" t="s">
        <v>29</v>
      </c>
      <c r="C8" s="3" t="s">
        <v>7</v>
      </c>
      <c r="D8" s="12" t="str">
        <f t="shared" si="0"/>
        <v>A15</v>
      </c>
      <c r="E8" s="13" t="str">
        <f t="shared" si="1"/>
        <v>Ilmu Komunikasi</v>
      </c>
      <c r="F8" s="14" t="str">
        <f t="shared" si="2"/>
        <v>2010</v>
      </c>
      <c r="G8" s="3">
        <v>80</v>
      </c>
      <c r="H8" s="3">
        <v>60</v>
      </c>
      <c r="I8" s="3">
        <v>50</v>
      </c>
      <c r="J8" s="15">
        <f t="shared" si="3"/>
        <v>62</v>
      </c>
      <c r="K8" s="16" t="str">
        <f t="shared" si="4"/>
        <v>BC</v>
      </c>
      <c r="L8" s="18">
        <f t="shared" si="5"/>
        <v>2014</v>
      </c>
      <c r="M8" s="3">
        <v>2015</v>
      </c>
      <c r="N8" s="17" t="str">
        <f t="shared" si="6"/>
        <v>Terlambat</v>
      </c>
      <c r="O8" s="19" t="str">
        <f t="shared" si="7"/>
        <v>Tidak</v>
      </c>
    </row>
    <row r="9" spans="1:15" x14ac:dyDescent="0.25">
      <c r="A9" s="4">
        <v>5</v>
      </c>
      <c r="B9" s="3" t="s">
        <v>17</v>
      </c>
      <c r="C9" s="3" t="s">
        <v>8</v>
      </c>
      <c r="D9" s="12" t="str">
        <f t="shared" si="0"/>
        <v>A12</v>
      </c>
      <c r="E9" s="13" t="str">
        <f t="shared" si="1"/>
        <v>Sistem Informatika</v>
      </c>
      <c r="F9" s="14" t="str">
        <f t="shared" si="2"/>
        <v>2013</v>
      </c>
      <c r="G9" s="3">
        <v>70</v>
      </c>
      <c r="H9" s="3">
        <v>30</v>
      </c>
      <c r="I9" s="3">
        <v>40</v>
      </c>
      <c r="J9" s="15">
        <f t="shared" si="3"/>
        <v>46</v>
      </c>
      <c r="K9" s="16" t="str">
        <f t="shared" si="4"/>
        <v>C</v>
      </c>
      <c r="L9" s="18">
        <f t="shared" si="5"/>
        <v>2017</v>
      </c>
      <c r="M9" s="3">
        <v>2018</v>
      </c>
      <c r="N9" s="17" t="str">
        <f t="shared" si="6"/>
        <v>Terlambat</v>
      </c>
      <c r="O9" s="19" t="str">
        <f t="shared" si="7"/>
        <v>Tidak</v>
      </c>
    </row>
    <row r="10" spans="1:15" x14ac:dyDescent="0.25">
      <c r="A10" s="4">
        <v>6</v>
      </c>
      <c r="B10" s="3" t="s">
        <v>18</v>
      </c>
      <c r="C10" s="3" t="s">
        <v>9</v>
      </c>
      <c r="D10" s="12" t="str">
        <f t="shared" si="0"/>
        <v>A14</v>
      </c>
      <c r="E10" s="13" t="str">
        <f t="shared" si="1"/>
        <v>Ilmu Komunikasi</v>
      </c>
      <c r="F10" s="14" t="str">
        <f t="shared" si="2"/>
        <v>2010</v>
      </c>
      <c r="G10" s="3">
        <v>90</v>
      </c>
      <c r="H10" s="3">
        <v>100</v>
      </c>
      <c r="I10" s="3">
        <v>70</v>
      </c>
      <c r="J10" s="15">
        <f t="shared" si="3"/>
        <v>85</v>
      </c>
      <c r="K10" s="16" t="str">
        <f t="shared" si="4"/>
        <v>AB</v>
      </c>
      <c r="L10" s="18">
        <f t="shared" si="5"/>
        <v>2014</v>
      </c>
      <c r="M10" s="3">
        <v>2014</v>
      </c>
      <c r="N10" s="17" t="str">
        <f t="shared" si="6"/>
        <v>Tepat</v>
      </c>
      <c r="O10" s="19" t="str">
        <f t="shared" si="7"/>
        <v>Tidak</v>
      </c>
    </row>
    <row r="11" spans="1:15" x14ac:dyDescent="0.25">
      <c r="A11" s="4">
        <v>7</v>
      </c>
      <c r="B11" s="3" t="s">
        <v>30</v>
      </c>
      <c r="C11" s="3" t="s">
        <v>10</v>
      </c>
      <c r="D11" s="12" t="str">
        <f t="shared" si="0"/>
        <v>A15</v>
      </c>
      <c r="E11" s="13" t="str">
        <f t="shared" si="1"/>
        <v>Ilmu Komunikasi</v>
      </c>
      <c r="F11" s="14" t="str">
        <f t="shared" si="2"/>
        <v>2011</v>
      </c>
      <c r="G11" s="3">
        <v>45</v>
      </c>
      <c r="H11" s="3">
        <v>85</v>
      </c>
      <c r="I11" s="3">
        <v>35</v>
      </c>
      <c r="J11" s="15">
        <f t="shared" si="3"/>
        <v>53</v>
      </c>
      <c r="K11" s="16" t="str">
        <f t="shared" si="4"/>
        <v>C</v>
      </c>
      <c r="L11" s="18">
        <f t="shared" si="5"/>
        <v>2015</v>
      </c>
      <c r="M11" s="3">
        <v>2015</v>
      </c>
      <c r="N11" s="17" t="str">
        <f t="shared" si="6"/>
        <v>Tepat</v>
      </c>
      <c r="O11" s="19" t="str">
        <f t="shared" si="7"/>
        <v>Tidak</v>
      </c>
    </row>
    <row r="12" spans="1:15" x14ac:dyDescent="0.25">
      <c r="A12" s="4">
        <v>8</v>
      </c>
      <c r="B12" s="3" t="s">
        <v>19</v>
      </c>
      <c r="C12" s="3" t="s">
        <v>11</v>
      </c>
      <c r="D12" s="12" t="str">
        <f t="shared" si="0"/>
        <v>A12</v>
      </c>
      <c r="E12" s="13" t="str">
        <f t="shared" si="1"/>
        <v>Sistem Informatika</v>
      </c>
      <c r="F12" s="14" t="str">
        <f t="shared" si="2"/>
        <v>2012</v>
      </c>
      <c r="G12" s="3">
        <v>80</v>
      </c>
      <c r="H12" s="3">
        <v>80</v>
      </c>
      <c r="I12" s="3">
        <v>80</v>
      </c>
      <c r="J12" s="15">
        <f t="shared" si="3"/>
        <v>80</v>
      </c>
      <c r="K12" s="16" t="str">
        <f t="shared" si="4"/>
        <v>B</v>
      </c>
      <c r="L12" s="18">
        <f t="shared" si="5"/>
        <v>2016</v>
      </c>
      <c r="M12" s="3">
        <v>2016</v>
      </c>
      <c r="N12" s="17" t="str">
        <f t="shared" si="6"/>
        <v>Tepat</v>
      </c>
      <c r="O12" s="19" t="str">
        <f t="shared" si="7"/>
        <v>Tidak</v>
      </c>
    </row>
    <row r="13" spans="1:15" x14ac:dyDescent="0.25">
      <c r="A13" s="4">
        <v>9</v>
      </c>
      <c r="B13" s="3" t="s">
        <v>20</v>
      </c>
      <c r="C13" s="3" t="s">
        <v>12</v>
      </c>
      <c r="D13" s="12" t="str">
        <f t="shared" si="0"/>
        <v>A11</v>
      </c>
      <c r="E13" s="13" t="str">
        <f t="shared" si="1"/>
        <v>Teknik Informatika</v>
      </c>
      <c r="F13" s="14" t="str">
        <f t="shared" si="2"/>
        <v>2012</v>
      </c>
      <c r="G13" s="3">
        <v>70</v>
      </c>
      <c r="H13" s="3">
        <v>50</v>
      </c>
      <c r="I13" s="3">
        <v>80</v>
      </c>
      <c r="J13" s="15">
        <f t="shared" si="3"/>
        <v>68</v>
      </c>
      <c r="K13" s="16" t="str">
        <f t="shared" si="4"/>
        <v>BC</v>
      </c>
      <c r="L13" s="18">
        <f t="shared" si="5"/>
        <v>2016</v>
      </c>
      <c r="M13" s="3">
        <v>2017</v>
      </c>
      <c r="N13" s="17" t="str">
        <f t="shared" si="6"/>
        <v>Terlambat</v>
      </c>
      <c r="O13" s="19" t="str">
        <f t="shared" si="7"/>
        <v>Tidak</v>
      </c>
    </row>
    <row r="14" spans="1:15" ht="15.75" thickBot="1" x14ac:dyDescent="0.3">
      <c r="A14" s="5">
        <v>10</v>
      </c>
      <c r="B14" s="6" t="s">
        <v>31</v>
      </c>
      <c r="C14" s="6" t="s">
        <v>13</v>
      </c>
      <c r="D14" s="12" t="str">
        <f t="shared" si="0"/>
        <v>A15</v>
      </c>
      <c r="E14" s="13" t="str">
        <f t="shared" si="1"/>
        <v>Ilmu Komunikasi</v>
      </c>
      <c r="F14" s="14" t="str">
        <f t="shared" si="2"/>
        <v>2011</v>
      </c>
      <c r="G14" s="6">
        <v>100</v>
      </c>
      <c r="H14" s="6">
        <v>100</v>
      </c>
      <c r="I14" s="6">
        <v>100</v>
      </c>
      <c r="J14" s="15">
        <f t="shared" si="3"/>
        <v>100</v>
      </c>
      <c r="K14" s="16" t="str">
        <f t="shared" si="4"/>
        <v>A</v>
      </c>
      <c r="L14" s="18">
        <f t="shared" si="5"/>
        <v>2015</v>
      </c>
      <c r="M14" s="6">
        <v>2013</v>
      </c>
      <c r="N14" s="17" t="str">
        <f t="shared" si="6"/>
        <v>Cepat</v>
      </c>
      <c r="O14" s="19" t="str">
        <f t="shared" si="7"/>
        <v>Ya</v>
      </c>
    </row>
    <row r="15" spans="1:15" ht="15.75" thickBot="1" x14ac:dyDescent="0.3"/>
    <row r="16" spans="1:15" ht="15.75" thickBot="1" x14ac:dyDescent="0.3">
      <c r="B16" s="69" t="s">
        <v>61</v>
      </c>
      <c r="C16" s="70"/>
      <c r="D16" s="70"/>
      <c r="E16" s="70"/>
      <c r="F16" s="60" t="s">
        <v>91</v>
      </c>
      <c r="I16" s="71" t="s">
        <v>62</v>
      </c>
      <c r="J16" s="72"/>
      <c r="K16" s="72"/>
      <c r="L16" s="73"/>
    </row>
    <row r="17" spans="2:12" x14ac:dyDescent="0.25">
      <c r="B17" s="36" t="s">
        <v>22</v>
      </c>
      <c r="C17" s="37" t="s">
        <v>115</v>
      </c>
      <c r="D17" s="37"/>
      <c r="E17" s="37"/>
      <c r="F17" s="38" t="s">
        <v>74</v>
      </c>
      <c r="I17" s="74" t="s">
        <v>64</v>
      </c>
      <c r="J17" s="75"/>
      <c r="K17" s="75"/>
      <c r="L17" s="35">
        <f>MAX(J5:J14)</f>
        <v>100</v>
      </c>
    </row>
    <row r="18" spans="2:12" x14ac:dyDescent="0.25">
      <c r="B18" s="39" t="s">
        <v>21</v>
      </c>
      <c r="C18" s="40"/>
      <c r="D18" s="40"/>
      <c r="E18" s="40"/>
      <c r="F18" s="41" t="s">
        <v>92</v>
      </c>
      <c r="I18" s="76" t="s">
        <v>63</v>
      </c>
      <c r="J18" s="77"/>
      <c r="K18" s="77"/>
      <c r="L18" s="35">
        <f>MIN(J5:J14)</f>
        <v>46</v>
      </c>
    </row>
    <row r="19" spans="2:12" ht="15.75" thickBot="1" x14ac:dyDescent="0.3">
      <c r="B19" s="20" t="s">
        <v>23</v>
      </c>
      <c r="C19" s="21" t="s">
        <v>24</v>
      </c>
      <c r="D19" s="21"/>
      <c r="E19" s="21"/>
      <c r="F19" s="30"/>
      <c r="I19" s="78" t="s">
        <v>65</v>
      </c>
      <c r="J19" s="79"/>
      <c r="K19" s="79"/>
      <c r="L19" s="35">
        <f>AVERAGE(J5:J14)</f>
        <v>71.39</v>
      </c>
    </row>
    <row r="20" spans="2:12" ht="15.75" thickBot="1" x14ac:dyDescent="0.3">
      <c r="B20" s="20" t="s">
        <v>25</v>
      </c>
      <c r="C20" s="21" t="s">
        <v>26</v>
      </c>
      <c r="D20" s="21"/>
      <c r="E20" s="21"/>
      <c r="F20" s="30"/>
      <c r="I20" s="62" t="s">
        <v>21</v>
      </c>
      <c r="J20" s="63" t="s">
        <v>66</v>
      </c>
      <c r="K20" s="63" t="s">
        <v>3</v>
      </c>
      <c r="L20" s="64" t="s">
        <v>66</v>
      </c>
    </row>
    <row r="21" spans="2:12" x14ac:dyDescent="0.25">
      <c r="B21" s="20" t="s">
        <v>27</v>
      </c>
      <c r="C21" s="21" t="s">
        <v>28</v>
      </c>
      <c r="D21" s="21"/>
      <c r="E21" s="21"/>
      <c r="F21" s="30"/>
      <c r="I21" s="7" t="s">
        <v>23</v>
      </c>
      <c r="J21" s="35">
        <f>COUNTIF(D5:D14,"A11")</f>
        <v>3</v>
      </c>
      <c r="K21" s="2">
        <v>2011</v>
      </c>
      <c r="L21" s="35">
        <f>COUNTIFS(F5:F14,2011,D5:D14,"A11")</f>
        <v>1</v>
      </c>
    </row>
    <row r="22" spans="2:12" x14ac:dyDescent="0.25">
      <c r="B22" s="20" t="s">
        <v>32</v>
      </c>
      <c r="C22" s="21" t="s">
        <v>33</v>
      </c>
      <c r="D22" s="21"/>
      <c r="E22" s="21"/>
      <c r="F22" s="30"/>
      <c r="I22" s="4" t="s">
        <v>25</v>
      </c>
      <c r="J22" s="35">
        <f>COUNTIF(D5:D14,"A12")</f>
        <v>2</v>
      </c>
      <c r="K22" s="3">
        <v>2012</v>
      </c>
      <c r="L22" s="35">
        <f>COUNTIFS(F6:F15,2012,D6:D15,"A12")</f>
        <v>1</v>
      </c>
    </row>
    <row r="23" spans="2:12" x14ac:dyDescent="0.25">
      <c r="B23" s="42" t="s">
        <v>3</v>
      </c>
      <c r="C23" s="43" t="s">
        <v>39</v>
      </c>
      <c r="D23" s="43"/>
      <c r="E23" s="43"/>
      <c r="F23" s="44" t="s">
        <v>74</v>
      </c>
      <c r="I23" s="4" t="s">
        <v>27</v>
      </c>
      <c r="J23" s="35">
        <f>COUNTIF(D5:D14,"A14")</f>
        <v>2</v>
      </c>
      <c r="K23" s="3">
        <v>2013</v>
      </c>
      <c r="L23" s="35">
        <f>COUNTIFS(F7:F16,2013,D7:D16,"A14")</f>
        <v>0</v>
      </c>
    </row>
    <row r="24" spans="2:12" ht="15.75" thickBot="1" x14ac:dyDescent="0.3">
      <c r="B24" s="45" t="s">
        <v>38</v>
      </c>
      <c r="C24" s="46" t="s">
        <v>40</v>
      </c>
      <c r="D24" s="46"/>
      <c r="E24" s="46"/>
      <c r="F24" s="47" t="s">
        <v>111</v>
      </c>
      <c r="I24" s="65" t="s">
        <v>32</v>
      </c>
      <c r="J24" s="35">
        <f>COUNTIF(D5:D14,"A15")</f>
        <v>3</v>
      </c>
      <c r="K24" s="1">
        <v>2010</v>
      </c>
      <c r="L24" s="35">
        <f>COUNTIFS(F8:F17,2010,D8:D17,"A15")</f>
        <v>1</v>
      </c>
    </row>
    <row r="25" spans="2:12" ht="15.75" thickBot="1" x14ac:dyDescent="0.3">
      <c r="B25" s="48" t="s">
        <v>38</v>
      </c>
      <c r="C25" s="49" t="s">
        <v>41</v>
      </c>
      <c r="D25" s="49"/>
      <c r="E25" s="49"/>
      <c r="F25" s="50" t="s">
        <v>96</v>
      </c>
      <c r="I25" s="67" t="s">
        <v>67</v>
      </c>
      <c r="J25" s="68"/>
      <c r="K25" s="68"/>
      <c r="L25" s="66">
        <f>COUNTIF(N5:N14,"Tepat")</f>
        <v>4</v>
      </c>
    </row>
    <row r="26" spans="2:12" x14ac:dyDescent="0.25">
      <c r="B26" s="22" t="s">
        <v>94</v>
      </c>
      <c r="C26" s="23" t="s">
        <v>95</v>
      </c>
      <c r="D26" s="23"/>
      <c r="E26" s="23"/>
      <c r="F26" s="31"/>
    </row>
    <row r="27" spans="2:12" x14ac:dyDescent="0.25">
      <c r="B27" s="22" t="s">
        <v>44</v>
      </c>
      <c r="C27" s="23" t="s">
        <v>45</v>
      </c>
      <c r="D27" s="23"/>
      <c r="E27" s="23"/>
      <c r="F27" s="31"/>
    </row>
    <row r="28" spans="2:12" x14ac:dyDescent="0.25">
      <c r="B28" s="22" t="s">
        <v>46</v>
      </c>
      <c r="C28" s="23" t="s">
        <v>47</v>
      </c>
      <c r="D28" s="23"/>
      <c r="E28" s="23"/>
      <c r="F28" s="31"/>
    </row>
    <row r="29" spans="2:12" x14ac:dyDescent="0.25">
      <c r="B29" s="22" t="s">
        <v>48</v>
      </c>
      <c r="C29" s="23" t="s">
        <v>49</v>
      </c>
      <c r="D29" s="23"/>
      <c r="E29" s="23"/>
      <c r="F29" s="31"/>
    </row>
    <row r="30" spans="2:12" x14ac:dyDescent="0.25">
      <c r="B30" s="22" t="s">
        <v>97</v>
      </c>
      <c r="C30" s="23" t="s">
        <v>50</v>
      </c>
      <c r="D30" s="23"/>
      <c r="E30" s="23"/>
      <c r="F30" s="31"/>
    </row>
    <row r="31" spans="2:12" x14ac:dyDescent="0.25">
      <c r="B31" s="22" t="s">
        <v>98</v>
      </c>
      <c r="C31" s="23" t="s">
        <v>51</v>
      </c>
      <c r="D31" s="23"/>
      <c r="E31" s="23"/>
      <c r="F31" s="31"/>
    </row>
    <row r="32" spans="2:12" x14ac:dyDescent="0.25">
      <c r="B32" s="51" t="s">
        <v>42</v>
      </c>
      <c r="C32" s="52" t="s">
        <v>52</v>
      </c>
      <c r="D32" s="52"/>
      <c r="E32" s="52"/>
      <c r="F32" s="53" t="s">
        <v>99</v>
      </c>
    </row>
    <row r="33" spans="2:6" x14ac:dyDescent="0.25">
      <c r="B33" s="54" t="s">
        <v>43</v>
      </c>
      <c r="C33" s="55"/>
      <c r="D33" s="55"/>
      <c r="E33" s="55"/>
      <c r="F33" s="56" t="s">
        <v>96</v>
      </c>
    </row>
    <row r="34" spans="2:6" x14ac:dyDescent="0.25">
      <c r="B34" s="24" t="s">
        <v>54</v>
      </c>
      <c r="C34" s="25"/>
      <c r="D34" s="25"/>
      <c r="E34" s="25" t="s">
        <v>57</v>
      </c>
      <c r="F34" s="32"/>
    </row>
    <row r="35" spans="2:6" x14ac:dyDescent="0.25">
      <c r="B35" s="24" t="s">
        <v>56</v>
      </c>
      <c r="C35" s="25"/>
      <c r="D35" s="25"/>
      <c r="E35" s="25" t="s">
        <v>55</v>
      </c>
      <c r="F35" s="32"/>
    </row>
    <row r="36" spans="2:6" x14ac:dyDescent="0.25">
      <c r="B36" s="24" t="s">
        <v>58</v>
      </c>
      <c r="C36" s="25"/>
      <c r="D36" s="25"/>
      <c r="E36" s="25" t="s">
        <v>59</v>
      </c>
      <c r="F36" s="32"/>
    </row>
    <row r="37" spans="2:6" x14ac:dyDescent="0.25">
      <c r="B37" s="24" t="s">
        <v>100</v>
      </c>
      <c r="C37" s="25"/>
      <c r="D37" s="25"/>
      <c r="E37" s="25" t="s">
        <v>95</v>
      </c>
      <c r="F37" s="32"/>
    </row>
    <row r="38" spans="2:6" x14ac:dyDescent="0.25">
      <c r="B38" s="57" t="s">
        <v>112</v>
      </c>
      <c r="C38" s="58"/>
      <c r="D38" s="58"/>
      <c r="E38" s="58"/>
      <c r="F38" s="59" t="s">
        <v>93</v>
      </c>
    </row>
    <row r="39" spans="2:6" x14ac:dyDescent="0.25">
      <c r="B39" s="26" t="s">
        <v>113</v>
      </c>
      <c r="C39" s="27"/>
      <c r="D39" s="27"/>
      <c r="E39" s="27" t="s">
        <v>114</v>
      </c>
      <c r="F39" s="33"/>
    </row>
    <row r="40" spans="2:6" x14ac:dyDescent="0.25">
      <c r="B40" s="28" t="s">
        <v>60</v>
      </c>
      <c r="C40" s="29"/>
      <c r="D40" s="29"/>
      <c r="E40" s="29" t="s">
        <v>107</v>
      </c>
      <c r="F40" s="34"/>
    </row>
  </sheetData>
  <mergeCells count="20">
    <mergeCell ref="L3:L4"/>
    <mergeCell ref="M3:M4"/>
    <mergeCell ref="N3:N4"/>
    <mergeCell ref="O3:O4"/>
    <mergeCell ref="A1:O1"/>
    <mergeCell ref="G3:I3"/>
    <mergeCell ref="A3:A4"/>
    <mergeCell ref="B3:B4"/>
    <mergeCell ref="C3:C4"/>
    <mergeCell ref="D3:D4"/>
    <mergeCell ref="E3:E4"/>
    <mergeCell ref="F3:F4"/>
    <mergeCell ref="J3:J4"/>
    <mergeCell ref="K3:K4"/>
    <mergeCell ref="I25:K25"/>
    <mergeCell ref="B16:E16"/>
    <mergeCell ref="I16:L16"/>
    <mergeCell ref="I17:K17"/>
    <mergeCell ref="I18:K18"/>
    <mergeCell ref="I19:K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zoomScale="55" zoomScaleNormal="55" workbookViewId="0">
      <selection activeCell="V11" sqref="V11"/>
    </sheetView>
  </sheetViews>
  <sheetFormatPr defaultRowHeight="15" x14ac:dyDescent="0.25"/>
  <cols>
    <col min="1" max="1" width="3.5703125" customWidth="1"/>
    <col min="2" max="2" width="18.140625" customWidth="1"/>
    <col min="3" max="3" width="10.7109375" customWidth="1"/>
    <col min="4" max="4" width="14.85546875" customWidth="1"/>
    <col min="6" max="6" width="12.85546875" customWidth="1"/>
    <col min="8" max="8" width="11.28515625" customWidth="1"/>
    <col min="10" max="10" width="4.5703125" customWidth="1"/>
    <col min="15" max="15" width="2.85546875" customWidth="1"/>
    <col min="22" max="22" width="16.140625" customWidth="1"/>
    <col min="23" max="23" width="12.140625" customWidth="1"/>
  </cols>
  <sheetData>
    <row r="1" spans="1:23" x14ac:dyDescent="0.25">
      <c r="A1" s="3" t="s">
        <v>0</v>
      </c>
      <c r="B1" s="3" t="s">
        <v>69</v>
      </c>
      <c r="C1" s="9" t="s">
        <v>70</v>
      </c>
      <c r="G1" s="88" t="s">
        <v>83</v>
      </c>
      <c r="H1" s="88"/>
      <c r="J1" t="s">
        <v>75</v>
      </c>
      <c r="K1" t="s">
        <v>80</v>
      </c>
      <c r="M1" s="88" t="s">
        <v>83</v>
      </c>
      <c r="N1" s="88"/>
      <c r="P1" t="s">
        <v>90</v>
      </c>
      <c r="S1" s="10" t="s">
        <v>0</v>
      </c>
      <c r="T1" s="10" t="s">
        <v>101</v>
      </c>
      <c r="U1" s="10" t="s">
        <v>102</v>
      </c>
      <c r="V1" s="10" t="s">
        <v>104</v>
      </c>
      <c r="W1" s="10" t="s">
        <v>105</v>
      </c>
    </row>
    <row r="2" spans="1:23" x14ac:dyDescent="0.25">
      <c r="A2" s="3">
        <v>1</v>
      </c>
      <c r="B2" s="3" t="s">
        <v>71</v>
      </c>
      <c r="C2" s="3" t="str">
        <f>LEFT(C1,3)</f>
        <v>UDI</v>
      </c>
      <c r="G2" s="11" t="s">
        <v>75</v>
      </c>
      <c r="H2" s="11" t="s">
        <v>76</v>
      </c>
      <c r="J2">
        <v>100</v>
      </c>
      <c r="K2" t="str">
        <f>IF(J2&lt;74,"C", IF(J2&lt;84, "B", IF(J2&lt;=100, "A", IF(J2&lt;0, "Tidak Valid", "Tidak Valid"))))</f>
        <v>A</v>
      </c>
      <c r="M2" s="10" t="s">
        <v>84</v>
      </c>
      <c r="N2" s="10" t="s">
        <v>85</v>
      </c>
      <c r="P2" t="s">
        <v>84</v>
      </c>
      <c r="Q2" t="s">
        <v>85</v>
      </c>
      <c r="S2" s="3">
        <v>1</v>
      </c>
      <c r="T2" s="3" t="s">
        <v>106</v>
      </c>
      <c r="U2" s="3" t="s">
        <v>106</v>
      </c>
      <c r="V2" s="3" t="str">
        <f>IF(AND(T2="Hujan",U2="Hujan"),"Hujan","Tidak Hujan")</f>
        <v>Hujan</v>
      </c>
      <c r="W2" s="3" t="str">
        <f>IF(OR(T2="Hujan", U2="Hujan"), "Hujan", "Tidak Hujan")</f>
        <v>Hujan</v>
      </c>
    </row>
    <row r="3" spans="1:23" x14ac:dyDescent="0.25">
      <c r="A3" s="3">
        <v>2</v>
      </c>
      <c r="B3" s="3" t="s">
        <v>72</v>
      </c>
      <c r="C3" s="3" t="str">
        <f>RIGHT(C1,2)</f>
        <v>US</v>
      </c>
      <c r="G3" s="3" t="s">
        <v>77</v>
      </c>
      <c r="H3" s="3" t="s">
        <v>45</v>
      </c>
      <c r="J3">
        <v>45</v>
      </c>
      <c r="K3" t="str">
        <f t="shared" ref="K3:K6" si="0">IF(J3&lt;74,"C", IF(J3&lt;84, "B", IF(J3&lt;=100, "A", IF(J3&lt;0, "Tidak Valid", "Tidak Valid"))))</f>
        <v>C</v>
      </c>
      <c r="M3" s="3">
        <v>1</v>
      </c>
      <c r="N3" s="3" t="s">
        <v>87</v>
      </c>
      <c r="P3">
        <v>3</v>
      </c>
      <c r="Q3" t="str">
        <f>IF(P3=1, "Satu", IF(P3=2, "Dua", IF(P3=3,"Tiga", "Lain")))</f>
        <v>Tiga</v>
      </c>
      <c r="S3" s="3">
        <v>2</v>
      </c>
      <c r="T3" s="3" t="s">
        <v>107</v>
      </c>
      <c r="U3" s="3" t="s">
        <v>106</v>
      </c>
      <c r="V3" s="3" t="str">
        <f t="shared" ref="V3:V4" si="1">IF(AND(T3="Hujan",U3="Hujan"),"Hujan","Tidak Hujan")</f>
        <v>Tidak Hujan</v>
      </c>
      <c r="W3" s="3" t="str">
        <f t="shared" ref="W3:W4" si="2">IF(OR(T3="Hujan", U3="Hujan"), "Hujan", "Tidak Hujan")</f>
        <v>Hujan</v>
      </c>
    </row>
    <row r="4" spans="1:23" ht="15" customHeight="1" x14ac:dyDescent="0.25">
      <c r="A4" s="3">
        <v>3</v>
      </c>
      <c r="B4" s="8" t="s">
        <v>73</v>
      </c>
      <c r="C4" s="3" t="str">
        <f>MID(C1,2,3)</f>
        <v>DIN</v>
      </c>
      <c r="G4" s="3" t="s">
        <v>78</v>
      </c>
      <c r="H4" s="3" t="s">
        <v>49</v>
      </c>
      <c r="J4">
        <v>90</v>
      </c>
      <c r="K4" t="str">
        <f t="shared" si="0"/>
        <v>A</v>
      </c>
      <c r="M4" s="3">
        <v>2</v>
      </c>
      <c r="N4" s="3" t="s">
        <v>88</v>
      </c>
      <c r="P4">
        <v>4</v>
      </c>
      <c r="Q4" t="str">
        <f t="shared" ref="Q4:Q5" si="3">IF(P4=1, "Satu", IF(P4=2, "Dua", IF(P4=3,"Tiga", "Lain")))</f>
        <v>Lain</v>
      </c>
      <c r="S4" s="3">
        <v>3</v>
      </c>
      <c r="T4" s="3" t="s">
        <v>106</v>
      </c>
      <c r="U4" s="3" t="s">
        <v>107</v>
      </c>
      <c r="V4" s="3" t="str">
        <f t="shared" si="1"/>
        <v>Tidak Hujan</v>
      </c>
      <c r="W4" s="3" t="str">
        <f t="shared" si="2"/>
        <v>Hujan</v>
      </c>
    </row>
    <row r="5" spans="1:23" x14ac:dyDescent="0.25">
      <c r="G5" s="3" t="s">
        <v>79</v>
      </c>
      <c r="H5" s="3" t="s">
        <v>51</v>
      </c>
      <c r="J5">
        <v>10</v>
      </c>
      <c r="K5" t="str">
        <f t="shared" si="0"/>
        <v>C</v>
      </c>
      <c r="M5" s="3">
        <v>3</v>
      </c>
      <c r="N5" s="3" t="s">
        <v>89</v>
      </c>
      <c r="Q5" t="str">
        <f t="shared" si="3"/>
        <v>Lain</v>
      </c>
      <c r="S5" t="s">
        <v>83</v>
      </c>
    </row>
    <row r="6" spans="1:23" x14ac:dyDescent="0.25">
      <c r="G6" s="3" t="s">
        <v>81</v>
      </c>
      <c r="H6" s="3" t="s">
        <v>82</v>
      </c>
      <c r="J6">
        <v>101</v>
      </c>
      <c r="K6" t="str">
        <f t="shared" si="0"/>
        <v>Tidak Valid</v>
      </c>
      <c r="M6" s="3"/>
      <c r="N6" s="3" t="s">
        <v>86</v>
      </c>
      <c r="S6" t="s">
        <v>108</v>
      </c>
      <c r="T6" t="s">
        <v>103</v>
      </c>
    </row>
    <row r="7" spans="1:23" x14ac:dyDescent="0.25">
      <c r="S7" t="s">
        <v>109</v>
      </c>
      <c r="T7" t="s">
        <v>110</v>
      </c>
    </row>
  </sheetData>
  <mergeCells count="2">
    <mergeCell ref="G1:H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Mahasiswa</vt:lpstr>
      <vt:lpstr>Contoh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D3M</cp:lastModifiedBy>
  <dcterms:created xsi:type="dcterms:W3CDTF">2018-10-11T00:11:50Z</dcterms:created>
  <dcterms:modified xsi:type="dcterms:W3CDTF">2025-10-07T08:47:32Z</dcterms:modified>
</cp:coreProperties>
</file>