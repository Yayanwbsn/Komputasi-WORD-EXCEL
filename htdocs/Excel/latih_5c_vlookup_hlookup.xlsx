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3M\Desktop\"/>
    </mc:Choice>
  </mc:AlternateContent>
  <bookViews>
    <workbookView xWindow="0" yWindow="0" windowWidth="19200" windowHeight="7755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4" i="1"/>
  <c r="D5" i="1" l="1"/>
  <c r="D6" i="1"/>
  <c r="D7" i="1"/>
  <c r="D8" i="1"/>
  <c r="D9" i="1"/>
  <c r="D10" i="1"/>
  <c r="D11" i="1"/>
  <c r="D12" i="1"/>
  <c r="D13" i="1"/>
  <c r="D4" i="1"/>
  <c r="C4" i="1"/>
  <c r="I4" i="1" s="1"/>
  <c r="C5" i="1"/>
  <c r="I5" i="1" s="1"/>
  <c r="C6" i="1"/>
  <c r="I6" i="1" s="1"/>
  <c r="C7" i="1"/>
  <c r="I7" i="1" s="1"/>
  <c r="C8" i="1"/>
  <c r="I8" i="1" s="1"/>
  <c r="C9" i="1"/>
  <c r="I9" i="1" s="1"/>
  <c r="C10" i="1"/>
  <c r="I10" i="1" s="1"/>
  <c r="C11" i="1"/>
  <c r="I11" i="1" s="1"/>
  <c r="C12" i="1"/>
  <c r="I12" i="1" s="1"/>
  <c r="C13" i="1"/>
  <c r="I13" i="1" s="1"/>
</calcChain>
</file>

<file path=xl/sharedStrings.xml><?xml version="1.0" encoding="utf-8"?>
<sst xmlns="http://schemas.openxmlformats.org/spreadsheetml/2006/main" count="70" uniqueCount="62">
  <si>
    <r>
      <rPr>
        <b/>
        <sz val="16"/>
        <rFont val="Calibri"/>
        <family val="1"/>
      </rPr>
      <t>PT MURAH BERKAH</t>
    </r>
  </si>
  <si>
    <r>
      <rPr>
        <b/>
        <sz val="12"/>
        <rFont val="Calibri"/>
        <family val="1"/>
      </rPr>
      <t xml:space="preserve">Jl. Kutilang, no. 13, Semarang, </t>
    </r>
    <r>
      <rPr>
        <sz val="12"/>
        <rFont val="Wingdings"/>
        <family val="5"/>
      </rPr>
      <t></t>
    </r>
    <r>
      <rPr>
        <sz val="12"/>
        <rFont val="Times New Roman"/>
        <family val="1"/>
      </rPr>
      <t xml:space="preserve"> </t>
    </r>
    <r>
      <rPr>
        <b/>
        <sz val="12"/>
        <rFont val="Calibri"/>
        <family val="1"/>
      </rPr>
      <t>024 – 3547689 Kode Pos 50131</t>
    </r>
  </si>
  <si>
    <r>
      <rPr>
        <b/>
        <sz val="11"/>
        <rFont val="Calibri"/>
        <family val="1"/>
      </rPr>
      <t>No</t>
    </r>
  </si>
  <si>
    <r>
      <rPr>
        <b/>
        <sz val="11"/>
        <rFont val="Calibri"/>
        <family val="1"/>
      </rPr>
      <t>Kode Brg</t>
    </r>
  </si>
  <si>
    <r>
      <rPr>
        <b/>
        <sz val="11"/>
        <rFont val="Calibri"/>
        <family val="1"/>
      </rPr>
      <t>Nama Barang</t>
    </r>
  </si>
  <si>
    <r>
      <rPr>
        <b/>
        <sz val="11"/>
        <rFont val="Calibri"/>
        <family val="1"/>
      </rPr>
      <t>Merk</t>
    </r>
  </si>
  <si>
    <r>
      <rPr>
        <b/>
        <sz val="11"/>
        <rFont val="Calibri"/>
        <family val="1"/>
      </rPr>
      <t>Jumlah Stok</t>
    </r>
  </si>
  <si>
    <r>
      <rPr>
        <b/>
        <sz val="11"/>
        <rFont val="Calibri"/>
        <family val="1"/>
      </rPr>
      <t>Harga Satuan</t>
    </r>
  </si>
  <si>
    <r>
      <rPr>
        <b/>
        <sz val="11"/>
        <rFont val="Calibri"/>
        <family val="1"/>
      </rPr>
      <t>Jml</t>
    </r>
  </si>
  <si>
    <r>
      <rPr>
        <b/>
        <sz val="11"/>
        <rFont val="Calibri"/>
        <family val="1"/>
      </rPr>
      <t>Total Harga</t>
    </r>
  </si>
  <si>
    <r>
      <rPr>
        <b/>
        <sz val="11"/>
        <rFont val="Calibri"/>
        <family val="1"/>
      </rPr>
      <t>Disc</t>
    </r>
  </si>
  <si>
    <r>
      <rPr>
        <b/>
        <sz val="11"/>
        <rFont val="Calibri"/>
        <family val="1"/>
      </rPr>
      <t>Harga Setelah Discount</t>
    </r>
  </si>
  <si>
    <r>
      <rPr>
        <b/>
        <sz val="11"/>
        <rFont val="Calibri"/>
        <family val="1"/>
      </rPr>
      <t>Hadiah</t>
    </r>
  </si>
  <si>
    <r>
      <rPr>
        <sz val="11"/>
        <rFont val="Calibri"/>
        <family val="1"/>
      </rPr>
      <t>S-P01-12</t>
    </r>
  </si>
  <si>
    <r>
      <rPr>
        <sz val="11"/>
        <rFont val="Calibri"/>
        <family val="1"/>
      </rPr>
      <t>Rp          350.000,00</t>
    </r>
  </si>
  <si>
    <r>
      <rPr>
        <sz val="11"/>
        <rFont val="Calibri"/>
        <family val="1"/>
      </rPr>
      <t>N-L02-23</t>
    </r>
  </si>
  <si>
    <r>
      <rPr>
        <sz val="11"/>
        <rFont val="Calibri"/>
        <family val="1"/>
      </rPr>
      <t>Rp    12.000.000,00</t>
    </r>
  </si>
  <si>
    <r>
      <rPr>
        <sz val="11"/>
        <rFont val="Calibri"/>
        <family val="1"/>
      </rPr>
      <t>L-M01-32</t>
    </r>
  </si>
  <si>
    <r>
      <rPr>
        <sz val="11"/>
        <rFont val="Calibri"/>
        <family val="1"/>
      </rPr>
      <t>Rp          450.000,00</t>
    </r>
  </si>
  <si>
    <r>
      <rPr>
        <sz val="11"/>
        <rFont val="Calibri"/>
        <family val="1"/>
      </rPr>
      <t>T-P11-90</t>
    </r>
  </si>
  <si>
    <r>
      <rPr>
        <sz val="11"/>
        <rFont val="Calibri"/>
        <family val="1"/>
      </rPr>
      <t>Rp      8.000.000,00</t>
    </r>
  </si>
  <si>
    <r>
      <rPr>
        <sz val="11"/>
        <rFont val="Calibri"/>
        <family val="1"/>
      </rPr>
      <t>T-L01-40</t>
    </r>
  </si>
  <si>
    <r>
      <rPr>
        <sz val="11"/>
        <rFont val="Calibri"/>
        <family val="1"/>
      </rPr>
      <t>Rp    13.500.000,00</t>
    </r>
  </si>
  <si>
    <r>
      <rPr>
        <sz val="11"/>
        <rFont val="Calibri"/>
        <family val="1"/>
      </rPr>
      <t>L-P01-20</t>
    </r>
  </si>
  <si>
    <r>
      <rPr>
        <sz val="11"/>
        <rFont val="Calibri"/>
        <family val="1"/>
      </rPr>
      <t>N-L02-80</t>
    </r>
  </si>
  <si>
    <r>
      <rPr>
        <sz val="11"/>
        <rFont val="Calibri"/>
        <family val="1"/>
      </rPr>
      <t>S-M01-45</t>
    </r>
  </si>
  <si>
    <r>
      <rPr>
        <sz val="11"/>
        <rFont val="Calibri"/>
        <family val="1"/>
      </rPr>
      <t>N-P11-34</t>
    </r>
  </si>
  <si>
    <r>
      <rPr>
        <sz val="11"/>
        <rFont val="Calibri"/>
        <family val="1"/>
      </rPr>
      <t>T-L01-60</t>
    </r>
  </si>
  <si>
    <r>
      <rPr>
        <sz val="11"/>
        <rFont val="Calibri"/>
        <family val="1"/>
      </rPr>
      <t>Total</t>
    </r>
  </si>
  <si>
    <r>
      <rPr>
        <b/>
        <sz val="11"/>
        <rFont val="Calibri"/>
        <family val="1"/>
      </rPr>
      <t>Daftar Discount</t>
    </r>
  </si>
  <si>
    <r>
      <rPr>
        <b/>
        <sz val="11"/>
        <rFont val="Calibri"/>
        <family val="1"/>
      </rPr>
      <t>Discount</t>
    </r>
  </si>
  <si>
    <r>
      <rPr>
        <sz val="11"/>
        <rFont val="Calibri"/>
        <family val="1"/>
      </rPr>
      <t>Kode Brg</t>
    </r>
  </si>
  <si>
    <r>
      <rPr>
        <sz val="11"/>
        <rFont val="Calibri"/>
        <family val="1"/>
      </rPr>
      <t>S</t>
    </r>
  </si>
  <si>
    <r>
      <rPr>
        <sz val="11"/>
        <rFont val="Calibri"/>
        <family val="1"/>
      </rPr>
      <t>N</t>
    </r>
  </si>
  <si>
    <r>
      <rPr>
        <sz val="11"/>
        <rFont val="Calibri"/>
        <family val="1"/>
      </rPr>
      <t>L</t>
    </r>
  </si>
  <si>
    <r>
      <rPr>
        <sz val="11"/>
        <rFont val="Calibri"/>
        <family val="1"/>
      </rPr>
      <t>T</t>
    </r>
  </si>
  <si>
    <r>
      <rPr>
        <sz val="11"/>
        <rFont val="Calibri"/>
        <family val="1"/>
      </rPr>
      <t>Laptop</t>
    </r>
  </si>
  <si>
    <r>
      <rPr>
        <sz val="11"/>
        <rFont val="Calibri"/>
        <family val="1"/>
      </rPr>
      <t>Merk</t>
    </r>
  </si>
  <si>
    <r>
      <rPr>
        <sz val="11"/>
        <rFont val="Calibri"/>
        <family val="1"/>
      </rPr>
      <t>Sharp</t>
    </r>
  </si>
  <si>
    <r>
      <rPr>
        <sz val="11"/>
        <rFont val="Calibri"/>
        <family val="1"/>
      </rPr>
      <t>National</t>
    </r>
  </si>
  <si>
    <r>
      <rPr>
        <sz val="11"/>
        <rFont val="Calibri"/>
        <family val="1"/>
      </rPr>
      <t>LG</t>
    </r>
  </si>
  <si>
    <r>
      <rPr>
        <sz val="11"/>
        <rFont val="Calibri"/>
        <family val="1"/>
      </rPr>
      <t>Toshiba</t>
    </r>
  </si>
  <si>
    <r>
      <rPr>
        <sz val="11"/>
        <rFont val="Calibri"/>
        <family val="1"/>
      </rPr>
      <t>P</t>
    </r>
  </si>
  <si>
    <r>
      <rPr>
        <sz val="11"/>
        <rFont val="Calibri"/>
        <family val="1"/>
      </rPr>
      <t>PC</t>
    </r>
  </si>
  <si>
    <r>
      <rPr>
        <sz val="11"/>
        <rFont val="Calibri"/>
        <family val="1"/>
      </rPr>
      <t>Jml Pembelian &gt;= 10 : 7.5%.</t>
    </r>
  </si>
  <si>
    <r>
      <rPr>
        <sz val="11"/>
        <rFont val="Calibri"/>
        <family val="1"/>
      </rPr>
      <t>Hadiah</t>
    </r>
  </si>
  <si>
    <r>
      <rPr>
        <sz val="11"/>
        <rFont val="Calibri"/>
        <family val="1"/>
      </rPr>
      <t>Topi</t>
    </r>
  </si>
  <si>
    <r>
      <rPr>
        <sz val="11"/>
        <rFont val="Calibri"/>
        <family val="1"/>
      </rPr>
      <t>Tas</t>
    </r>
  </si>
  <si>
    <r>
      <rPr>
        <sz val="11"/>
        <rFont val="Calibri"/>
        <family val="1"/>
      </rPr>
      <t>Jam</t>
    </r>
  </si>
  <si>
    <r>
      <rPr>
        <sz val="11"/>
        <rFont val="Calibri"/>
        <family val="1"/>
      </rPr>
      <t>Jaket</t>
    </r>
  </si>
  <si>
    <r>
      <rPr>
        <sz val="11"/>
        <rFont val="Calibri"/>
        <family val="1"/>
      </rPr>
      <t>M</t>
    </r>
  </si>
  <si>
    <r>
      <rPr>
        <sz val="11"/>
        <rFont val="Calibri"/>
        <family val="1"/>
      </rPr>
      <t>Mobitor</t>
    </r>
  </si>
  <si>
    <r>
      <rPr>
        <sz val="11"/>
        <rFont val="Calibri"/>
        <family val="1"/>
      </rPr>
      <t>Jml Pembelian &gt;= 3 : 2.5%.</t>
    </r>
  </si>
  <si>
    <r>
      <rPr>
        <sz val="11"/>
        <rFont val="Calibri"/>
        <family val="1"/>
      </rPr>
      <t>ketentuan Soal</t>
    </r>
  </si>
  <si>
    <r>
      <rPr>
        <sz val="11"/>
        <rFont val="Calibri"/>
        <family val="1"/>
      </rPr>
      <t>1. nama Barang diambil dari Huruf tengah dari kode barang</t>
    </r>
  </si>
  <si>
    <r>
      <rPr>
        <sz val="11"/>
        <rFont val="Calibri"/>
        <family val="1"/>
      </rPr>
      <t>2. total harga dari harga satuan x jumlah</t>
    </r>
  </si>
  <si>
    <r>
      <rPr>
        <sz val="11"/>
        <rFont val="Calibri"/>
        <family val="1"/>
      </rPr>
      <t>3. Discount ditentukan dari jumlah</t>
    </r>
  </si>
  <si>
    <r>
      <rPr>
        <sz val="11"/>
        <rFont val="Calibri"/>
        <family val="1"/>
      </rPr>
      <t>4. Bonus menggunakan Vlookup dari nama barang</t>
    </r>
  </si>
  <si>
    <t xml:space="preserve">5.Jml Stok diambil 2 huruf dari kanan kode brg </t>
  </si>
  <si>
    <t>2.50%</t>
  </si>
  <si>
    <t>7.50%</t>
  </si>
  <si>
    <t>Jml Pembelian &gt;= 5 :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</si>
</sst>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p&quot;#,##0"/>
  </numFmts>
  <fonts count="12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6"/>
      <name val="Calibri"/>
      <family val="1"/>
    </font>
    <font>
      <b/>
      <sz val="12"/>
      <name val="Calibri"/>
      <family val="1"/>
    </font>
    <font>
      <sz val="12"/>
      <name val="Wingdings"/>
      <family val="5"/>
    </font>
    <font>
      <sz val="12"/>
      <name val="Times New Roman"/>
      <family val="1"/>
    </font>
    <font>
      <b/>
      <sz val="11"/>
      <name val="Calibri"/>
      <family val="1"/>
    </font>
    <font>
      <sz val="11"/>
      <name val="Calibri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4C5E7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164" fontId="0" fillId="0" borderId="1" xfId="0" applyNumberFormat="1" applyFill="1" applyBorder="1" applyAlignment="1">
      <alignment horizontal="left" wrapText="1"/>
    </xf>
    <xf numFmtId="0" fontId="0" fillId="0" borderId="5" xfId="0" applyFill="1" applyBorder="1" applyAlignment="1">
      <alignment vertical="top" wrapText="1"/>
    </xf>
    <xf numFmtId="0" fontId="0" fillId="0" borderId="0" xfId="0" applyFill="1" applyBorder="1" applyAlignment="1">
      <alignment wrapText="1"/>
    </xf>
    <xf numFmtId="0" fontId="4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center" wrapText="1" indent="4"/>
    </xf>
    <xf numFmtId="0" fontId="0" fillId="0" borderId="5" xfId="0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 indent="3"/>
    </xf>
    <xf numFmtId="0" fontId="4" fillId="0" borderId="6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0"/>
    </xf>
    <xf numFmtId="0" fontId="0" fillId="0" borderId="0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left" vertical="top" wrapText="1" indent="3"/>
    </xf>
    <xf numFmtId="0" fontId="4" fillId="0" borderId="8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top" wrapText="1"/>
    </xf>
    <xf numFmtId="9" fontId="0" fillId="0" borderId="7" xfId="0" applyNumberFormat="1" applyFill="1" applyBorder="1" applyAlignment="1">
      <alignment horizontal="right" vertical="top" wrapText="1"/>
    </xf>
    <xf numFmtId="0" fontId="11" fillId="0" borderId="7" xfId="0" applyFont="1" applyFill="1" applyBorder="1" applyAlignment="1">
      <alignment horizontal="right" vertical="top" wrapText="1"/>
    </xf>
    <xf numFmtId="0" fontId="11" fillId="0" borderId="7" xfId="0" applyFont="1" applyFill="1" applyBorder="1" applyAlignment="1">
      <alignment horizontal="right" wrapText="1"/>
    </xf>
    <xf numFmtId="0" fontId="10" fillId="0" borderId="7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F17" sqref="F17"/>
    </sheetView>
  </sheetViews>
  <sheetFormatPr defaultRowHeight="12.75"/>
  <cols>
    <col min="1" max="1" width="6" customWidth="1"/>
    <col min="2" max="2" width="15.5" customWidth="1"/>
    <col min="3" max="4" width="12.6640625" customWidth="1"/>
    <col min="5" max="5" width="28.6640625" customWidth="1"/>
    <col min="6" max="6" width="20.83203125" customWidth="1"/>
    <col min="7" max="7" width="12.1640625" customWidth="1"/>
    <col min="8" max="8" width="19.33203125" customWidth="1"/>
    <col min="9" max="9" width="34.33203125" customWidth="1"/>
    <col min="10" max="10" width="16" customWidth="1"/>
    <col min="11" max="11" width="15.33203125" customWidth="1"/>
    <col min="12" max="12" width="11.83203125" customWidth="1"/>
    <col min="13" max="13" width="12" customWidth="1"/>
  </cols>
  <sheetData>
    <row r="1" spans="1:13" ht="24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45.2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43.5" customHeight="1">
      <c r="A3" s="1" t="s">
        <v>2</v>
      </c>
      <c r="B3" s="1" t="s">
        <v>3</v>
      </c>
      <c r="C3" s="28" t="s">
        <v>4</v>
      </c>
      <c r="D3" s="1" t="s">
        <v>5</v>
      </c>
      <c r="E3" s="28" t="s">
        <v>6</v>
      </c>
      <c r="F3" s="1" t="s">
        <v>7</v>
      </c>
      <c r="G3" s="1" t="s">
        <v>8</v>
      </c>
      <c r="H3" s="28" t="s">
        <v>9</v>
      </c>
      <c r="I3" s="1" t="s">
        <v>10</v>
      </c>
      <c r="J3" s="28" t="s">
        <v>11</v>
      </c>
      <c r="K3" s="1" t="s">
        <v>12</v>
      </c>
      <c r="L3" s="22"/>
      <c r="M3" s="22"/>
    </row>
    <row r="4" spans="1:13" ht="16.5" customHeight="1">
      <c r="A4" s="2">
        <v>1</v>
      </c>
      <c r="B4" s="3" t="s">
        <v>13</v>
      </c>
      <c r="C4" s="4" t="str">
        <f>VLOOKUP(MID(B4,3,1),$B$17:$F$19,2,0)</f>
        <v>PC</v>
      </c>
      <c r="D4" s="4" t="str">
        <f>HLOOKUP(LEFT(B4,1),$I$16:$M$18,2,0)</f>
        <v>Sharp</v>
      </c>
      <c r="E4" s="4">
        <v>3</v>
      </c>
      <c r="F4" s="5" t="s">
        <v>14</v>
      </c>
      <c r="G4" s="2">
        <v>6</v>
      </c>
      <c r="H4" s="12">
        <f>G4*F4</f>
        <v>2100000</v>
      </c>
      <c r="I4" s="4" t="str">
        <f>VLOOKUP(C4,$C$17:$F$19,4,0)</f>
        <v>7.50%</v>
      </c>
      <c r="J4" s="4"/>
      <c r="K4" s="4"/>
      <c r="L4" s="22"/>
      <c r="M4" s="22"/>
    </row>
    <row r="5" spans="1:13" ht="16.5" customHeight="1">
      <c r="A5" s="2">
        <v>2</v>
      </c>
      <c r="B5" s="3" t="s">
        <v>15</v>
      </c>
      <c r="C5" s="4" t="str">
        <f>VLOOKUP(MID(B5,3,1),$B$17:$F$19,2,0)</f>
        <v>Laptop</v>
      </c>
      <c r="D5" s="4" t="str">
        <f t="shared" ref="D5:D13" si="0">HLOOKUP(LEFT(B5,1),$I$16:$M$18,2,0)</f>
        <v>National</v>
      </c>
      <c r="E5" s="4">
        <v>2</v>
      </c>
      <c r="F5" s="5" t="s">
        <v>16</v>
      </c>
      <c r="G5" s="2">
        <v>5</v>
      </c>
      <c r="H5" s="12">
        <f t="shared" ref="H5:H13" si="1">G5*F5</f>
        <v>60000000</v>
      </c>
      <c r="I5" s="4">
        <f>VLOOKUP(C5,$C$17:$F$19,4,0)</f>
        <v>0.05</v>
      </c>
      <c r="J5" s="4"/>
      <c r="K5" s="4"/>
      <c r="L5" s="22"/>
      <c r="M5" s="22"/>
    </row>
    <row r="6" spans="1:13" ht="16.5" customHeight="1">
      <c r="A6" s="2">
        <v>3</v>
      </c>
      <c r="B6" s="3" t="s">
        <v>17</v>
      </c>
      <c r="C6" s="4" t="str">
        <f>VLOOKUP(MID(B6,3,1),$B$17:$F$19,2,0)</f>
        <v>Mobitor</v>
      </c>
      <c r="D6" s="4" t="str">
        <f t="shared" si="0"/>
        <v>LG</v>
      </c>
      <c r="E6" s="4">
        <v>56</v>
      </c>
      <c r="F6" s="5" t="s">
        <v>18</v>
      </c>
      <c r="G6" s="2">
        <v>3</v>
      </c>
      <c r="H6" s="12">
        <f t="shared" si="1"/>
        <v>1350000</v>
      </c>
      <c r="I6" s="4" t="str">
        <f>VLOOKUP(C6,$C$17:$F$19,4,0)</f>
        <v>2.50%</v>
      </c>
      <c r="J6" s="4"/>
      <c r="K6" s="4"/>
      <c r="L6" s="22"/>
      <c r="M6" s="22"/>
    </row>
    <row r="7" spans="1:13" ht="16.5" customHeight="1">
      <c r="A7" s="2">
        <v>4</v>
      </c>
      <c r="B7" s="3" t="s">
        <v>19</v>
      </c>
      <c r="C7" s="4" t="str">
        <f>VLOOKUP(MID(B7,3,1),$B$17:$F$19,2,0)</f>
        <v>PC</v>
      </c>
      <c r="D7" s="4" t="str">
        <f t="shared" si="0"/>
        <v>Toshiba</v>
      </c>
      <c r="E7" s="4">
        <v>122</v>
      </c>
      <c r="F7" s="5" t="s">
        <v>20</v>
      </c>
      <c r="G7" s="2">
        <v>11</v>
      </c>
      <c r="H7" s="12">
        <f t="shared" si="1"/>
        <v>88000000</v>
      </c>
      <c r="I7" s="4" t="str">
        <f>VLOOKUP(C7,$C$17:$F$19,4,0)</f>
        <v>7.50%</v>
      </c>
      <c r="J7" s="4"/>
      <c r="K7" s="4"/>
      <c r="L7" s="22"/>
      <c r="M7" s="22"/>
    </row>
    <row r="8" spans="1:13" ht="16.5" customHeight="1">
      <c r="A8" s="2">
        <v>5</v>
      </c>
      <c r="B8" s="3" t="s">
        <v>21</v>
      </c>
      <c r="C8" s="4" t="str">
        <f>VLOOKUP(MID(B8,3,1),$B$17:$F$19,2,0)</f>
        <v>Laptop</v>
      </c>
      <c r="D8" s="4" t="str">
        <f t="shared" si="0"/>
        <v>Toshiba</v>
      </c>
      <c r="E8" s="4">
        <v>10</v>
      </c>
      <c r="F8" s="5" t="s">
        <v>22</v>
      </c>
      <c r="G8" s="2">
        <v>1</v>
      </c>
      <c r="H8" s="12">
        <f t="shared" si="1"/>
        <v>13500000</v>
      </c>
      <c r="I8" s="4">
        <f>VLOOKUP(C8,$C$17:$F$19,4,0)</f>
        <v>0.05</v>
      </c>
      <c r="J8" s="4"/>
      <c r="K8" s="2">
        <v>1</v>
      </c>
      <c r="L8" s="22"/>
      <c r="M8" s="22"/>
    </row>
    <row r="9" spans="1:13" ht="16.5" customHeight="1">
      <c r="A9" s="2">
        <v>6</v>
      </c>
      <c r="B9" s="3" t="s">
        <v>23</v>
      </c>
      <c r="C9" s="4" t="str">
        <f>VLOOKUP(MID(B9,3,1),$B$17:$F$19,2,0)</f>
        <v>PC</v>
      </c>
      <c r="D9" s="4" t="str">
        <f t="shared" si="0"/>
        <v>LG</v>
      </c>
      <c r="E9" s="4">
        <v>12</v>
      </c>
      <c r="F9" s="5" t="s">
        <v>14</v>
      </c>
      <c r="G9" s="2">
        <v>6</v>
      </c>
      <c r="H9" s="12">
        <f t="shared" si="1"/>
        <v>2100000</v>
      </c>
      <c r="I9" s="4" t="str">
        <f>VLOOKUP(C9,$C$17:$F$19,4,0)</f>
        <v>7.50%</v>
      </c>
      <c r="J9" s="4"/>
      <c r="K9" s="4"/>
      <c r="L9" s="22"/>
      <c r="M9" s="22"/>
    </row>
    <row r="10" spans="1:13" ht="16.5" customHeight="1">
      <c r="A10" s="2">
        <v>7</v>
      </c>
      <c r="B10" s="3" t="s">
        <v>24</v>
      </c>
      <c r="C10" s="4" t="str">
        <f>VLOOKUP(MID(B10,3,1),$B$17:$F$19,2,0)</f>
        <v>Laptop</v>
      </c>
      <c r="D10" s="4" t="str">
        <f t="shared" si="0"/>
        <v>National</v>
      </c>
      <c r="E10" s="4">
        <v>20</v>
      </c>
      <c r="F10" s="5" t="s">
        <v>16</v>
      </c>
      <c r="G10" s="2">
        <v>5</v>
      </c>
      <c r="H10" s="12">
        <f t="shared" si="1"/>
        <v>60000000</v>
      </c>
      <c r="I10" s="4">
        <f>VLOOKUP(C10,$C$17:$F$19,4,0)</f>
        <v>0.05</v>
      </c>
      <c r="J10" s="4"/>
      <c r="K10" s="4"/>
      <c r="L10" s="22"/>
      <c r="M10" s="22"/>
    </row>
    <row r="11" spans="1:13" ht="16.5" customHeight="1">
      <c r="A11" s="2">
        <v>8</v>
      </c>
      <c r="B11" s="3" t="s">
        <v>25</v>
      </c>
      <c r="C11" s="4" t="str">
        <f>VLOOKUP(MID(B11,3,1),$B$17:$F$19,2,0)</f>
        <v>Mobitor</v>
      </c>
      <c r="D11" s="4" t="str">
        <f t="shared" si="0"/>
        <v>Sharp</v>
      </c>
      <c r="E11" s="4">
        <v>20</v>
      </c>
      <c r="F11" s="5" t="s">
        <v>18</v>
      </c>
      <c r="G11" s="2">
        <v>3</v>
      </c>
      <c r="H11" s="12">
        <f t="shared" si="1"/>
        <v>1350000</v>
      </c>
      <c r="I11" s="4" t="str">
        <f>VLOOKUP(C11,$C$17:$F$19,4,0)</f>
        <v>2.50%</v>
      </c>
      <c r="J11" s="4"/>
      <c r="K11" s="4"/>
      <c r="L11" s="22"/>
      <c r="M11" s="22"/>
    </row>
    <row r="12" spans="1:13" ht="16.5" customHeight="1">
      <c r="A12" s="2">
        <v>9</v>
      </c>
      <c r="B12" s="3" t="s">
        <v>26</v>
      </c>
      <c r="C12" s="4" t="str">
        <f>VLOOKUP(MID(B12,3,1),$B$17:$F$19,2,0)</f>
        <v>PC</v>
      </c>
      <c r="D12" s="4" t="str">
        <f t="shared" si="0"/>
        <v>National</v>
      </c>
      <c r="E12" s="4">
        <v>10</v>
      </c>
      <c r="F12" s="5" t="s">
        <v>20</v>
      </c>
      <c r="G12" s="2">
        <v>11</v>
      </c>
      <c r="H12" s="12">
        <f t="shared" si="1"/>
        <v>88000000</v>
      </c>
      <c r="I12" s="4" t="str">
        <f>VLOOKUP(C12,$C$17:$F$19,4,0)</f>
        <v>7.50%</v>
      </c>
      <c r="J12" s="4"/>
      <c r="K12" s="4"/>
      <c r="L12" s="22"/>
      <c r="M12" s="22"/>
    </row>
    <row r="13" spans="1:13" ht="16.5" customHeight="1">
      <c r="A13" s="2">
        <v>10</v>
      </c>
      <c r="B13" s="3" t="s">
        <v>27</v>
      </c>
      <c r="C13" s="4" t="str">
        <f>VLOOKUP(MID(B13,3,1),$B$17:$F$19,2,0)</f>
        <v>Laptop</v>
      </c>
      <c r="D13" s="4" t="str">
        <f t="shared" si="0"/>
        <v>Toshiba</v>
      </c>
      <c r="E13" s="4">
        <v>20</v>
      </c>
      <c r="F13" s="5" t="s">
        <v>22</v>
      </c>
      <c r="G13" s="2">
        <v>1</v>
      </c>
      <c r="H13" s="12">
        <f t="shared" si="1"/>
        <v>13500000</v>
      </c>
      <c r="I13" s="4">
        <f>VLOOKUP(C13,$C$17:$F$19,4,0)</f>
        <v>0.05</v>
      </c>
      <c r="J13" s="4"/>
      <c r="K13" s="2">
        <v>1</v>
      </c>
      <c r="L13" s="22"/>
      <c r="M13" s="22"/>
    </row>
    <row r="14" spans="1:13" ht="16.5" customHeight="1">
      <c r="A14" s="23"/>
      <c r="B14" s="23"/>
      <c r="C14" s="23"/>
      <c r="D14" s="23"/>
      <c r="E14" s="23"/>
      <c r="F14" s="24"/>
      <c r="G14" s="25" t="s">
        <v>28</v>
      </c>
      <c r="H14" s="26"/>
      <c r="I14" s="27"/>
      <c r="J14" s="4"/>
      <c r="K14" s="6"/>
      <c r="L14" s="22"/>
      <c r="M14" s="22"/>
    </row>
    <row r="15" spans="1:13" ht="48" customHeight="1">
      <c r="A15" s="16" t="s">
        <v>29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16.5" customHeight="1">
      <c r="A16" s="17"/>
      <c r="B16" s="7" t="s">
        <v>3</v>
      </c>
      <c r="C16" s="18" t="s">
        <v>4</v>
      </c>
      <c r="D16" s="29"/>
      <c r="E16" s="31" t="s">
        <v>30</v>
      </c>
      <c r="F16" s="31"/>
      <c r="G16" s="37"/>
      <c r="H16" s="13"/>
      <c r="I16" s="8" t="s">
        <v>31</v>
      </c>
      <c r="J16" s="8" t="s">
        <v>32</v>
      </c>
      <c r="K16" s="8" t="s">
        <v>33</v>
      </c>
      <c r="L16" s="8" t="s">
        <v>34</v>
      </c>
      <c r="M16" s="8" t="s">
        <v>35</v>
      </c>
    </row>
    <row r="17" spans="1:13" ht="16.5" customHeight="1">
      <c r="A17" s="17"/>
      <c r="B17" s="5" t="s">
        <v>34</v>
      </c>
      <c r="C17" s="19" t="s">
        <v>36</v>
      </c>
      <c r="D17" s="30"/>
      <c r="E17" s="35" t="s">
        <v>61</v>
      </c>
      <c r="F17" s="32">
        <v>0.05</v>
      </c>
      <c r="H17" s="13"/>
      <c r="I17" s="3" t="s">
        <v>37</v>
      </c>
      <c r="J17" s="3" t="s">
        <v>38</v>
      </c>
      <c r="K17" s="3" t="s">
        <v>39</v>
      </c>
      <c r="L17" s="3" t="s">
        <v>40</v>
      </c>
      <c r="M17" s="3" t="s">
        <v>41</v>
      </c>
    </row>
    <row r="18" spans="1:13" ht="16.5" customHeight="1">
      <c r="A18" s="17"/>
      <c r="B18" s="5" t="s">
        <v>42</v>
      </c>
      <c r="C18" s="19" t="s">
        <v>43</v>
      </c>
      <c r="D18" s="30"/>
      <c r="E18" s="36" t="s">
        <v>44</v>
      </c>
      <c r="F18" s="33" t="s">
        <v>60</v>
      </c>
      <c r="H18" s="13"/>
      <c r="I18" s="3" t="s">
        <v>45</v>
      </c>
      <c r="J18" s="3" t="s">
        <v>46</v>
      </c>
      <c r="K18" s="3" t="s">
        <v>47</v>
      </c>
      <c r="L18" s="3" t="s">
        <v>48</v>
      </c>
      <c r="M18" s="3" t="s">
        <v>49</v>
      </c>
    </row>
    <row r="19" spans="1:13" ht="16.5" customHeight="1">
      <c r="A19" s="17"/>
      <c r="B19" s="5" t="s">
        <v>50</v>
      </c>
      <c r="C19" s="19" t="s">
        <v>51</v>
      </c>
      <c r="D19" s="30"/>
      <c r="E19" s="36" t="s">
        <v>52</v>
      </c>
      <c r="F19" s="34" t="s">
        <v>59</v>
      </c>
      <c r="H19" s="14"/>
      <c r="I19" s="14"/>
      <c r="J19" s="14"/>
      <c r="K19" s="14"/>
      <c r="L19" s="14"/>
      <c r="M19" s="14"/>
    </row>
    <row r="20" spans="1:13" ht="32.25" customHeight="1">
      <c r="A20" s="9"/>
      <c r="B20" s="10" t="s">
        <v>53</v>
      </c>
      <c r="C20" s="11"/>
      <c r="D20" s="11"/>
      <c r="E20" s="9"/>
      <c r="F20" s="9"/>
      <c r="G20" s="9"/>
      <c r="H20" s="9"/>
      <c r="I20" s="9"/>
      <c r="J20" s="9"/>
      <c r="K20" s="9"/>
      <c r="L20" s="9"/>
      <c r="M20" s="9"/>
    </row>
    <row r="21" spans="1:13" ht="16.5" customHeight="1">
      <c r="A21" s="15" t="s">
        <v>54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ht="16.5" customHeight="1">
      <c r="A22" s="15" t="s">
        <v>55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ht="16.5" customHeight="1">
      <c r="A23" s="15" t="s">
        <v>56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ht="16.5" customHeight="1">
      <c r="A24" s="15" t="s">
        <v>57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>
      <c r="B25" t="s">
        <v>58</v>
      </c>
    </row>
  </sheetData>
  <mergeCells count="16">
    <mergeCell ref="A1:M1"/>
    <mergeCell ref="A2:M2"/>
    <mergeCell ref="L3:M14"/>
    <mergeCell ref="A14:F14"/>
    <mergeCell ref="G14:I14"/>
    <mergeCell ref="A21:M21"/>
    <mergeCell ref="A22:M22"/>
    <mergeCell ref="A23:M23"/>
    <mergeCell ref="A24:M24"/>
    <mergeCell ref="A15:M15"/>
    <mergeCell ref="A16:A19"/>
    <mergeCell ref="C16:D16"/>
    <mergeCell ref="E16:F16"/>
    <mergeCell ref="C17:D17"/>
    <mergeCell ref="C18:D18"/>
    <mergeCell ref="C19: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D3M</cp:lastModifiedBy>
  <dcterms:created xsi:type="dcterms:W3CDTF">2024-11-07T01:00:39Z</dcterms:created>
  <dcterms:modified xsi:type="dcterms:W3CDTF">2025-10-14T08:39:37Z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2024-11-07T00:00:00Z</vt:filetime>
  </property>
  <property fmtid="{D5CDD505-2E9C-101B-9397-08002B2CF9AE}" pid="5" name="Producer">
    <vt:lpwstr>Microsoft® Excel® 2010</vt:lpwstr>
  </property>
</Properties>
</file>