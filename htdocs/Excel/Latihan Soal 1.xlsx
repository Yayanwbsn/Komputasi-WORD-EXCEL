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NUS\htdocs\Excel\"/>
    </mc:Choice>
  </mc:AlternateContent>
  <bookViews>
    <workbookView xWindow="-105" yWindow="-105" windowWidth="19425" windowHeight="10305" firstSheet="1" activeTab="2"/>
  </bookViews>
  <sheets>
    <sheet name="Latihan 1" sheetId="1" r:id="rId1"/>
    <sheet name="Latihan 2" sheetId="2" r:id="rId2"/>
    <sheet name="Latihan 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3" l="1"/>
  <c r="W4" i="3"/>
  <c r="W5" i="3"/>
  <c r="Q3" i="3"/>
  <c r="Q4" i="3" l="1"/>
  <c r="Q5" i="3"/>
  <c r="Q6" i="3"/>
  <c r="V4" i="3"/>
  <c r="V5" i="3"/>
  <c r="V3" i="3"/>
  <c r="K13" i="3"/>
  <c r="K11" i="3"/>
  <c r="K4" i="3"/>
  <c r="K5" i="3"/>
  <c r="K6" i="3"/>
  <c r="K7" i="3"/>
  <c r="K8" i="3"/>
  <c r="K9" i="3"/>
  <c r="K10" i="3"/>
  <c r="K12" i="3"/>
  <c r="K3" i="3"/>
  <c r="C5" i="3"/>
  <c r="C4" i="3"/>
  <c r="C3" i="3"/>
</calcChain>
</file>

<file path=xl/sharedStrings.xml><?xml version="1.0" encoding="utf-8"?>
<sst xmlns="http://schemas.openxmlformats.org/spreadsheetml/2006/main" count="123" uniqueCount="70">
  <si>
    <t>Oleh Fitria Kinta Nurrizki, dan kawan-kawan</t>
  </si>
  <si>
    <t>Purbaliner: Aplikasi Pemesanan Jajanan Lokal</t>
  </si>
  <si>
    <t>1. Peralatan Penunjang</t>
  </si>
  <si>
    <t>Material</t>
  </si>
  <si>
    <t>Justifikasi Pemakaian</t>
  </si>
  <si>
    <t>Kuantitas</t>
  </si>
  <si>
    <t>Harga Satuan</t>
  </si>
  <si>
    <t>Jumlah</t>
  </si>
  <si>
    <t>Hosting dan domain</t>
  </si>
  <si>
    <t>Tahun</t>
  </si>
  <si>
    <t>Online Storage</t>
  </si>
  <si>
    <t>Bulanan</t>
  </si>
  <si>
    <t>Modem</t>
  </si>
  <si>
    <t>Buah</t>
  </si>
  <si>
    <t>Online Project Colaboration tool</t>
  </si>
  <si>
    <t>SUB TOTAL</t>
  </si>
  <si>
    <t>2. Bahan Habis Pakai</t>
  </si>
  <si>
    <t>Kertas A4</t>
  </si>
  <si>
    <t>Catridge Printer</t>
  </si>
  <si>
    <t>Buku agenda</t>
  </si>
  <si>
    <t>Buku Logbook</t>
  </si>
  <si>
    <t>Rim</t>
  </si>
  <si>
    <t>Paket</t>
  </si>
  <si>
    <t>Buku</t>
  </si>
  <si>
    <t>Justifikasi Anggaran Kegiatan PKM Penerapan Teknologi</t>
  </si>
  <si>
    <t>No</t>
  </si>
  <si>
    <t>Teks</t>
  </si>
  <si>
    <t>UDINUS</t>
  </si>
  <si>
    <t>Grade Nilai</t>
  </si>
  <si>
    <t>Daftar Nilai</t>
  </si>
  <si>
    <t>Syarat</t>
  </si>
  <si>
    <t>Cari IF</t>
  </si>
  <si>
    <t xml:space="preserve">Prakiraan Cuaca </t>
  </si>
  <si>
    <t>3 huruf dari kiri</t>
  </si>
  <si>
    <t>Nilai</t>
  </si>
  <si>
    <t>Grade</t>
  </si>
  <si>
    <t>Angka</t>
  </si>
  <si>
    <t>Abjad</t>
  </si>
  <si>
    <t>Lusa</t>
  </si>
  <si>
    <t>Kemarin</t>
  </si>
  <si>
    <t>Hari Ini (AND)</t>
  </si>
  <si>
    <t>Hari Ini (OR)</t>
  </si>
  <si>
    <t>2 huruf dari kanan</t>
  </si>
  <si>
    <t>85-100</t>
  </si>
  <si>
    <t>A</t>
  </si>
  <si>
    <t>Satu</t>
  </si>
  <si>
    <t>Hujan</t>
  </si>
  <si>
    <t>3 huruf di tengah, dari huruf ke 2</t>
  </si>
  <si>
    <t>70-84</t>
  </si>
  <si>
    <t>B</t>
  </si>
  <si>
    <t>Dua</t>
  </si>
  <si>
    <t>Tidak</t>
  </si>
  <si>
    <t>60-69</t>
  </si>
  <si>
    <t>C</t>
  </si>
  <si>
    <t>Tiga</t>
  </si>
  <si>
    <t>50-59</t>
  </si>
  <si>
    <t>D</t>
  </si>
  <si>
    <t>Lain</t>
  </si>
  <si>
    <t>0-49</t>
  </si>
  <si>
    <t>E</t>
  </si>
  <si>
    <t>AND</t>
  </si>
  <si>
    <t>Jika lusa dan kemarin hujan, maka hari ini hujan</t>
  </si>
  <si>
    <t>&gt;100</t>
  </si>
  <si>
    <t>Tidak Valid</t>
  </si>
  <si>
    <t>OR</t>
  </si>
  <si>
    <t>Jika lusa atau kemarin hujan, maka hari ini hujan</t>
  </si>
  <si>
    <t>Fungsi : IF()</t>
  </si>
  <si>
    <t>Fungsi : Left(), Right(), Mid()</t>
  </si>
  <si>
    <t>IF(AND())</t>
  </si>
  <si>
    <t>IF(OR())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</si>
</sst>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2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A7" zoomScale="130" zoomScaleNormal="130" zoomScaleSheetLayoutView="184" workbookViewId="0">
      <selection activeCell="F7" sqref="F7"/>
    </sheetView>
  </sheetViews>
  <sheetFormatPr defaultRowHeight="15" x14ac:dyDescent="0.25"/>
  <cols>
    <col min="1" max="1" width="29.42578125" customWidth="1"/>
    <col min="2" max="2" width="20.140625" bestFit="1" customWidth="1"/>
    <col min="3" max="3" width="9.28515625" bestFit="1" customWidth="1"/>
    <col min="4" max="4" width="12.42578125" bestFit="1" customWidth="1"/>
    <col min="5" max="5" width="7.28515625" bestFit="1" customWidth="1"/>
    <col min="6" max="14" width="9" customWidth="1"/>
  </cols>
  <sheetData>
    <row r="1" spans="1:10" x14ac:dyDescent="0.25">
      <c r="A1" t="s">
        <v>24</v>
      </c>
      <c r="F1" s="1"/>
    </row>
    <row r="2" spans="1:10" x14ac:dyDescent="0.25">
      <c r="A2" s="5" t="s">
        <v>1</v>
      </c>
      <c r="B2" s="5"/>
      <c r="C2" s="5"/>
      <c r="D2" s="5"/>
      <c r="E2" s="5"/>
      <c r="F2" s="2"/>
    </row>
    <row r="3" spans="1:10" x14ac:dyDescent="0.25">
      <c r="A3" t="s">
        <v>0</v>
      </c>
      <c r="F3" s="1"/>
    </row>
    <row r="4" spans="1:10" x14ac:dyDescent="0.25">
      <c r="A4">
        <v>2022</v>
      </c>
      <c r="F4" s="1"/>
    </row>
    <row r="6" spans="1:10" x14ac:dyDescent="0.25">
      <c r="A6" t="s">
        <v>2</v>
      </c>
    </row>
    <row r="7" spans="1:10" s="7" customFormat="1" ht="15" customHeight="1" x14ac:dyDescent="0.25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8"/>
      <c r="G7" s="8"/>
      <c r="I7" s="21"/>
      <c r="J7" s="21"/>
    </row>
    <row r="8" spans="1:10" x14ac:dyDescent="0.25">
      <c r="A8" t="s">
        <v>8</v>
      </c>
      <c r="B8" t="s">
        <v>9</v>
      </c>
      <c r="C8">
        <v>1</v>
      </c>
      <c r="D8">
        <v>2000000</v>
      </c>
      <c r="E8" s="3"/>
      <c r="F8" s="3"/>
      <c r="J8" s="3"/>
    </row>
    <row r="9" spans="1:10" x14ac:dyDescent="0.25">
      <c r="A9" t="s">
        <v>10</v>
      </c>
      <c r="B9" t="s">
        <v>11</v>
      </c>
      <c r="C9">
        <v>5</v>
      </c>
      <c r="D9">
        <v>150000</v>
      </c>
      <c r="E9" s="3"/>
      <c r="F9" s="3"/>
      <c r="J9" s="3"/>
    </row>
    <row r="10" spans="1:10" ht="14.25" customHeight="1" x14ac:dyDescent="0.25">
      <c r="A10" s="6" t="s">
        <v>14</v>
      </c>
      <c r="B10" t="s">
        <v>11</v>
      </c>
      <c r="C10">
        <v>5</v>
      </c>
      <c r="D10">
        <v>150000</v>
      </c>
      <c r="E10" s="3"/>
      <c r="F10" s="3"/>
      <c r="J10" s="3"/>
    </row>
    <row r="11" spans="1:10" x14ac:dyDescent="0.25">
      <c r="A11" t="s">
        <v>12</v>
      </c>
      <c r="B11" t="s">
        <v>13</v>
      </c>
      <c r="C11">
        <v>1</v>
      </c>
      <c r="D11">
        <v>500000</v>
      </c>
      <c r="E11" s="3"/>
      <c r="F11" s="3"/>
    </row>
    <row r="12" spans="1:10" x14ac:dyDescent="0.25">
      <c r="A12" t="s">
        <v>15</v>
      </c>
      <c r="E12" s="4"/>
      <c r="F12" s="4"/>
    </row>
    <row r="14" spans="1:10" x14ac:dyDescent="0.25">
      <c r="A14" t="s">
        <v>16</v>
      </c>
    </row>
    <row r="15" spans="1:10" s="7" customFormat="1" x14ac:dyDescent="0.25">
      <c r="A15" s="7" t="s">
        <v>3</v>
      </c>
      <c r="B15" s="7" t="s">
        <v>4</v>
      </c>
      <c r="C15" s="7" t="s">
        <v>5</v>
      </c>
      <c r="D15" s="7" t="s">
        <v>6</v>
      </c>
      <c r="E15" s="7" t="s">
        <v>7</v>
      </c>
      <c r="F15" s="9"/>
    </row>
    <row r="16" spans="1:10" x14ac:dyDescent="0.25">
      <c r="A16" t="s">
        <v>17</v>
      </c>
      <c r="B16" t="s">
        <v>21</v>
      </c>
      <c r="C16">
        <v>4</v>
      </c>
      <c r="D16">
        <v>50000</v>
      </c>
      <c r="E16" s="3"/>
      <c r="F16" s="3"/>
    </row>
    <row r="17" spans="1:6" x14ac:dyDescent="0.25">
      <c r="A17" t="s">
        <v>18</v>
      </c>
      <c r="B17" t="s">
        <v>22</v>
      </c>
      <c r="C17">
        <v>4</v>
      </c>
      <c r="D17">
        <v>150000</v>
      </c>
      <c r="E17" s="3"/>
      <c r="F17" s="3"/>
    </row>
    <row r="18" spans="1:6" x14ac:dyDescent="0.25">
      <c r="A18" t="s">
        <v>19</v>
      </c>
      <c r="B18" t="s">
        <v>23</v>
      </c>
      <c r="C18">
        <v>2</v>
      </c>
      <c r="D18">
        <v>50000</v>
      </c>
      <c r="E18" s="3"/>
      <c r="F18" s="3"/>
    </row>
    <row r="19" spans="1:6" x14ac:dyDescent="0.25">
      <c r="A19" t="s">
        <v>20</v>
      </c>
      <c r="B19" t="s">
        <v>23</v>
      </c>
      <c r="C19">
        <v>2</v>
      </c>
      <c r="D19">
        <v>50000</v>
      </c>
      <c r="E19" s="3"/>
      <c r="F19" s="3"/>
    </row>
    <row r="20" spans="1:6" x14ac:dyDescent="0.25">
      <c r="A20" t="s">
        <v>15</v>
      </c>
      <c r="E20" s="4"/>
      <c r="F20" s="4"/>
    </row>
  </sheetData>
  <mergeCells count="1">
    <mergeCell ref="I7:J7"/>
  </mergeCells>
  <pageMargins left="1.510416666666666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2" sqref="G12"/>
    </sheetView>
  </sheetViews>
  <sheetFormatPr defaultRowHeight="15" x14ac:dyDescent="0.25"/>
  <cols>
    <col min="4" max="4" width="14.7109375" bestFit="1" customWidth="1"/>
  </cols>
  <sheetData>
    <row r="1" spans="1:5" x14ac:dyDescent="0.25">
      <c r="A1" s="22" t="s">
        <v>24</v>
      </c>
      <c r="B1" s="22"/>
      <c r="C1" s="22"/>
      <c r="D1" s="22"/>
      <c r="E1" s="22"/>
    </row>
    <row r="2" spans="1:5" x14ac:dyDescent="0.25">
      <c r="A2" s="23" t="s">
        <v>1</v>
      </c>
      <c r="B2" s="23"/>
      <c r="C2" s="23"/>
      <c r="D2" s="23"/>
      <c r="E2" s="23"/>
    </row>
    <row r="3" spans="1:5" x14ac:dyDescent="0.25">
      <c r="A3" s="22" t="s">
        <v>0</v>
      </c>
      <c r="B3" s="22"/>
      <c r="C3" s="22"/>
      <c r="D3" s="22"/>
      <c r="E3" s="22"/>
    </row>
    <row r="4" spans="1:5" x14ac:dyDescent="0.25">
      <c r="A4" s="22">
        <v>2022</v>
      </c>
      <c r="B4" s="22"/>
      <c r="C4" s="22"/>
      <c r="D4" s="22"/>
      <c r="E4" s="22"/>
    </row>
    <row r="6" spans="1:5" x14ac:dyDescent="0.25">
      <c r="A6" t="s">
        <v>2</v>
      </c>
    </row>
    <row r="7" spans="1:5" x14ac:dyDescent="0.25">
      <c r="A7" t="s">
        <v>3</v>
      </c>
      <c r="B7" t="s">
        <v>4</v>
      </c>
      <c r="C7" t="s">
        <v>5</v>
      </c>
      <c r="D7" t="s">
        <v>6</v>
      </c>
      <c r="E7" t="s">
        <v>7</v>
      </c>
    </row>
    <row r="8" spans="1:5" x14ac:dyDescent="0.25">
      <c r="A8" t="s">
        <v>8</v>
      </c>
      <c r="B8" t="s">
        <v>9</v>
      </c>
      <c r="C8">
        <v>1</v>
      </c>
      <c r="D8" s="3">
        <v>2000000</v>
      </c>
    </row>
    <row r="9" spans="1:5" x14ac:dyDescent="0.25">
      <c r="A9" t="s">
        <v>10</v>
      </c>
      <c r="B9" t="s">
        <v>11</v>
      </c>
      <c r="C9">
        <v>5</v>
      </c>
      <c r="D9" s="3">
        <v>150000</v>
      </c>
    </row>
    <row r="10" spans="1:5" x14ac:dyDescent="0.25">
      <c r="A10" t="s">
        <v>14</v>
      </c>
      <c r="B10" t="s">
        <v>11</v>
      </c>
      <c r="C10">
        <v>5</v>
      </c>
      <c r="D10" s="3">
        <v>150000</v>
      </c>
    </row>
    <row r="11" spans="1:5" x14ac:dyDescent="0.25">
      <c r="A11" t="s">
        <v>12</v>
      </c>
      <c r="B11" t="s">
        <v>13</v>
      </c>
      <c r="C11">
        <v>1</v>
      </c>
      <c r="D11" s="3">
        <v>500000</v>
      </c>
    </row>
    <row r="12" spans="1:5" x14ac:dyDescent="0.25">
      <c r="A12" t="s">
        <v>15</v>
      </c>
    </row>
    <row r="14" spans="1:5" x14ac:dyDescent="0.25">
      <c r="A14" t="s">
        <v>16</v>
      </c>
    </row>
    <row r="15" spans="1:5" x14ac:dyDescent="0.25">
      <c r="A15" t="s">
        <v>3</v>
      </c>
      <c r="B15" t="s">
        <v>4</v>
      </c>
      <c r="C15" t="s">
        <v>5</v>
      </c>
      <c r="D15" t="s">
        <v>6</v>
      </c>
      <c r="E15" t="s">
        <v>7</v>
      </c>
    </row>
    <row r="16" spans="1:5" x14ac:dyDescent="0.25">
      <c r="A16" t="s">
        <v>17</v>
      </c>
      <c r="B16" t="s">
        <v>21</v>
      </c>
      <c r="C16">
        <v>4</v>
      </c>
      <c r="D16">
        <v>50000</v>
      </c>
    </row>
    <row r="17" spans="1:4" x14ac:dyDescent="0.25">
      <c r="A17" t="s">
        <v>18</v>
      </c>
      <c r="B17" t="s">
        <v>22</v>
      </c>
      <c r="C17">
        <v>4</v>
      </c>
      <c r="D17">
        <v>150000</v>
      </c>
    </row>
    <row r="18" spans="1:4" x14ac:dyDescent="0.25">
      <c r="A18" t="s">
        <v>19</v>
      </c>
      <c r="B18" t="s">
        <v>23</v>
      </c>
      <c r="C18">
        <v>2</v>
      </c>
      <c r="D18">
        <v>50000</v>
      </c>
    </row>
    <row r="19" spans="1:4" x14ac:dyDescent="0.25">
      <c r="A19" t="s">
        <v>20</v>
      </c>
      <c r="B19" t="s">
        <v>23</v>
      </c>
      <c r="C19">
        <v>2</v>
      </c>
      <c r="D19">
        <v>50000</v>
      </c>
    </row>
    <row r="20" spans="1:4" x14ac:dyDescent="0.25">
      <c r="A20" t="s">
        <v>15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topLeftCell="F1" workbookViewId="0">
      <selection activeCell="V3" sqref="V3"/>
    </sheetView>
  </sheetViews>
  <sheetFormatPr defaultRowHeight="15" x14ac:dyDescent="0.25"/>
  <cols>
    <col min="1" max="1" width="3.28515625" customWidth="1"/>
    <col min="2" max="2" width="29.7109375" customWidth="1"/>
    <col min="4" max="4" width="5.42578125" customWidth="1"/>
    <col min="5" max="5" width="6.42578125" customWidth="1"/>
    <col min="8" max="8" width="7" customWidth="1"/>
    <col min="9" max="9" width="4" customWidth="1"/>
    <col min="12" max="12" width="6.5703125" customWidth="1"/>
    <col min="13" max="13" width="8" customWidth="1"/>
    <col min="16" max="16" width="7.7109375" customWidth="1"/>
    <col min="18" max="18" width="7.5703125" customWidth="1"/>
    <col min="22" max="22" width="11.42578125" bestFit="1" customWidth="1"/>
    <col min="23" max="23" width="10.28515625" bestFit="1" customWidth="1"/>
  </cols>
  <sheetData>
    <row r="1" spans="1:23" x14ac:dyDescent="0.25">
      <c r="A1" s="13" t="s">
        <v>67</v>
      </c>
      <c r="F1" s="24" t="s">
        <v>28</v>
      </c>
      <c r="G1" s="24"/>
      <c r="H1" s="12"/>
      <c r="J1" s="24" t="s">
        <v>29</v>
      </c>
      <c r="K1" s="24"/>
      <c r="M1" s="24" t="s">
        <v>30</v>
      </c>
      <c r="N1" s="24"/>
      <c r="P1" s="13" t="s">
        <v>31</v>
      </c>
      <c r="S1" s="13" t="s">
        <v>32</v>
      </c>
    </row>
    <row r="2" spans="1:23" x14ac:dyDescent="0.25">
      <c r="A2" s="11" t="s">
        <v>25</v>
      </c>
      <c r="B2" s="11" t="s">
        <v>26</v>
      </c>
      <c r="C2" s="11" t="s">
        <v>27</v>
      </c>
      <c r="F2" s="14" t="s">
        <v>34</v>
      </c>
      <c r="G2" s="14" t="s">
        <v>35</v>
      </c>
      <c r="H2" s="15"/>
      <c r="I2" s="11" t="s">
        <v>25</v>
      </c>
      <c r="J2" s="11" t="s">
        <v>34</v>
      </c>
      <c r="K2" s="11" t="s">
        <v>35</v>
      </c>
      <c r="M2" s="11" t="s">
        <v>36</v>
      </c>
      <c r="N2" s="11" t="s">
        <v>37</v>
      </c>
      <c r="P2" s="11" t="s">
        <v>36</v>
      </c>
      <c r="Q2" s="11" t="s">
        <v>37</v>
      </c>
      <c r="S2" s="11" t="s">
        <v>25</v>
      </c>
      <c r="T2" s="11" t="s">
        <v>38</v>
      </c>
      <c r="U2" s="11" t="s">
        <v>39</v>
      </c>
      <c r="V2" s="11" t="s">
        <v>40</v>
      </c>
      <c r="W2" s="11" t="s">
        <v>41</v>
      </c>
    </row>
    <row r="3" spans="1:23" x14ac:dyDescent="0.25">
      <c r="A3" s="16">
        <v>1</v>
      </c>
      <c r="B3" s="10" t="s">
        <v>33</v>
      </c>
      <c r="C3" s="10" t="str">
        <f>LEFT(C2,3)</f>
        <v>UDI</v>
      </c>
      <c r="F3" s="10" t="s">
        <v>43</v>
      </c>
      <c r="G3" s="16" t="s">
        <v>44</v>
      </c>
      <c r="H3" s="1"/>
      <c r="I3" s="16">
        <v>1</v>
      </c>
      <c r="J3" s="10">
        <v>76</v>
      </c>
      <c r="K3" s="10" t="str">
        <f>IF(J3&gt;=100,"Tidak Valid",IF(J3&gt;=85,"A",IF(J3&gt;=70,"B",IF(J3&gt;=60,"C",IF(J3&gt;=50,"D",IF(J3&gt;=0,"E"))))))</f>
        <v>B</v>
      </c>
      <c r="M3" s="16">
        <v>1</v>
      </c>
      <c r="N3" s="10" t="s">
        <v>45</v>
      </c>
      <c r="P3" s="16">
        <v>3</v>
      </c>
      <c r="Q3" s="10" t="str">
        <f>IF(P3=1,"Satu",IF(P3=2,"Dua",IF(P3=3,"Tiga")))</f>
        <v>Tiga</v>
      </c>
      <c r="S3" s="10">
        <v>1</v>
      </c>
      <c r="T3" s="10" t="s">
        <v>46</v>
      </c>
      <c r="U3" s="10" t="s">
        <v>46</v>
      </c>
      <c r="V3" s="10" t="str">
        <f>IF(AND(T3="Hujan",U3="Hujan"),"Hujan","Tidak")</f>
        <v>Hujan</v>
      </c>
      <c r="W3" s="10" t="str">
        <f>IF(OR(T3="Hujan",U3="Hujan"),"Hujan","Tidak")</f>
        <v>Hujan</v>
      </c>
    </row>
    <row r="4" spans="1:23" x14ac:dyDescent="0.25">
      <c r="A4" s="16">
        <v>2</v>
      </c>
      <c r="B4" s="10" t="s">
        <v>42</v>
      </c>
      <c r="C4" s="10" t="str">
        <f>RIGHT(C2,2)</f>
        <v>US</v>
      </c>
      <c r="F4" s="10" t="s">
        <v>48</v>
      </c>
      <c r="G4" s="16" t="s">
        <v>49</v>
      </c>
      <c r="H4" s="1"/>
      <c r="I4" s="16">
        <v>2</v>
      </c>
      <c r="J4" s="10">
        <v>85</v>
      </c>
      <c r="K4" s="10" t="str">
        <f t="shared" ref="K4:K13" si="0">IF(J4&gt;=100,"Tidak Valid",IF(J4&gt;=85,"A",IF(J4&gt;=70,"B",IF(J4&gt;=60,"C",IF(J4&gt;=50,"D",IF(J4&gt;=0,"E"))))))</f>
        <v>A</v>
      </c>
      <c r="M4" s="16">
        <v>2</v>
      </c>
      <c r="N4" s="10" t="s">
        <v>50</v>
      </c>
      <c r="P4" s="16">
        <v>1</v>
      </c>
      <c r="Q4" s="10" t="str">
        <f t="shared" ref="Q4:Q6" si="1">IF(P4=1,"Satu",IF(P4=2,"Dua",IF(P4=3,"Tiga")))</f>
        <v>Satu</v>
      </c>
      <c r="S4" s="10">
        <v>2</v>
      </c>
      <c r="T4" s="10" t="s">
        <v>51</v>
      </c>
      <c r="U4" s="10" t="s">
        <v>46</v>
      </c>
      <c r="V4" s="10" t="str">
        <f t="shared" ref="V4:V5" si="2">IF(AND(T4="Hujan",U4="Hujan"),"Hujan","Tidak")</f>
        <v>Tidak</v>
      </c>
      <c r="W4" s="10" t="str">
        <f>IF(OR(T4="Hujan",U4="Hujan"),"Hujan","Tidak")</f>
        <v>Hujan</v>
      </c>
    </row>
    <row r="5" spans="1:23" ht="30" x14ac:dyDescent="0.25">
      <c r="A5" s="19">
        <v>3</v>
      </c>
      <c r="B5" s="18" t="s">
        <v>47</v>
      </c>
      <c r="C5" s="17" t="str">
        <f>MID(C2,2,3)</f>
        <v>DIN</v>
      </c>
      <c r="F5" s="10" t="s">
        <v>52</v>
      </c>
      <c r="G5" s="16" t="s">
        <v>53</v>
      </c>
      <c r="H5" s="1"/>
      <c r="I5" s="16">
        <v>3</v>
      </c>
      <c r="J5" s="10">
        <v>95</v>
      </c>
      <c r="K5" s="10" t="str">
        <f t="shared" si="0"/>
        <v>A</v>
      </c>
      <c r="M5" s="16">
        <v>3</v>
      </c>
      <c r="N5" s="10" t="s">
        <v>54</v>
      </c>
      <c r="P5" s="16">
        <v>2</v>
      </c>
      <c r="Q5" s="10" t="str">
        <f t="shared" si="1"/>
        <v>Dua</v>
      </c>
      <c r="S5" s="10">
        <v>3</v>
      </c>
      <c r="T5" s="10" t="s">
        <v>46</v>
      </c>
      <c r="U5" s="10" t="s">
        <v>51</v>
      </c>
      <c r="V5" s="10" t="str">
        <f t="shared" si="2"/>
        <v>Tidak</v>
      </c>
      <c r="W5" s="10" t="str">
        <f>IF(OR(T5="Hujan",U5="Hujan"),"Hujan","Tidak")</f>
        <v>Hujan</v>
      </c>
    </row>
    <row r="6" spans="1:23" x14ac:dyDescent="0.25">
      <c r="F6" s="10" t="s">
        <v>55</v>
      </c>
      <c r="G6" s="16" t="s">
        <v>56</v>
      </c>
      <c r="H6" s="1"/>
      <c r="I6" s="16">
        <v>4</v>
      </c>
      <c r="J6" s="10">
        <v>70</v>
      </c>
      <c r="K6" s="10" t="str">
        <f t="shared" si="0"/>
        <v>B</v>
      </c>
      <c r="M6" s="16"/>
      <c r="N6" s="10" t="s">
        <v>57</v>
      </c>
      <c r="P6" s="16">
        <v>1</v>
      </c>
      <c r="Q6" s="10" t="str">
        <f t="shared" si="1"/>
        <v>Satu</v>
      </c>
      <c r="S6" s="13" t="s">
        <v>30</v>
      </c>
    </row>
    <row r="7" spans="1:23" x14ac:dyDescent="0.25">
      <c r="F7" s="10" t="s">
        <v>58</v>
      </c>
      <c r="G7" s="16" t="s">
        <v>59</v>
      </c>
      <c r="H7" s="1"/>
      <c r="I7" s="16">
        <v>5</v>
      </c>
      <c r="J7" s="10">
        <v>80</v>
      </c>
      <c r="K7" s="10" t="str">
        <f t="shared" si="0"/>
        <v>B</v>
      </c>
      <c r="P7" s="10"/>
      <c r="Q7" s="10"/>
      <c r="S7" s="13" t="s">
        <v>60</v>
      </c>
      <c r="T7" t="s">
        <v>61</v>
      </c>
    </row>
    <row r="8" spans="1:23" x14ac:dyDescent="0.25">
      <c r="F8" s="10" t="s">
        <v>62</v>
      </c>
      <c r="G8" s="16" t="s">
        <v>63</v>
      </c>
      <c r="H8" s="1"/>
      <c r="I8" s="16">
        <v>6</v>
      </c>
      <c r="J8" s="10">
        <v>50</v>
      </c>
      <c r="K8" s="10" t="str">
        <f t="shared" si="0"/>
        <v>D</v>
      </c>
      <c r="S8" s="13" t="s">
        <v>64</v>
      </c>
      <c r="T8" t="s">
        <v>65</v>
      </c>
    </row>
    <row r="9" spans="1:23" x14ac:dyDescent="0.25">
      <c r="F9" s="10"/>
      <c r="G9" s="16"/>
      <c r="I9" s="16">
        <v>7</v>
      </c>
      <c r="J9" s="10">
        <v>30</v>
      </c>
      <c r="K9" s="10" t="str">
        <f t="shared" si="0"/>
        <v>E</v>
      </c>
    </row>
    <row r="10" spans="1:23" x14ac:dyDescent="0.25">
      <c r="I10" s="16">
        <v>8</v>
      </c>
      <c r="J10" s="10">
        <v>75</v>
      </c>
      <c r="K10" s="10" t="str">
        <f t="shared" si="0"/>
        <v>B</v>
      </c>
      <c r="S10" s="10" t="s">
        <v>68</v>
      </c>
    </row>
    <row r="11" spans="1:23" x14ac:dyDescent="0.25">
      <c r="I11" s="16">
        <v>9</v>
      </c>
      <c r="J11" s="10">
        <v>100</v>
      </c>
      <c r="K11" s="10" t="str">
        <f>IF(J11&gt;100,"Tidak Valid",IF(J11&gt;=85,"A",IF(J11&gt;=70,"B",IF(J11&gt;=60,"C",IF(J11&gt;=50,"D",IF(J11&gt;=0,"E"))))))</f>
        <v>A</v>
      </c>
      <c r="S11" s="10" t="s">
        <v>69</v>
      </c>
    </row>
    <row r="12" spans="1:23" x14ac:dyDescent="0.25">
      <c r="F12" s="13" t="s">
        <v>66</v>
      </c>
      <c r="I12" s="16">
        <v>10</v>
      </c>
      <c r="J12" s="10">
        <v>30</v>
      </c>
      <c r="K12" s="10" t="str">
        <f t="shared" si="0"/>
        <v>E</v>
      </c>
      <c r="M12" s="13" t="s">
        <v>66</v>
      </c>
    </row>
    <row r="13" spans="1:23" x14ac:dyDescent="0.25">
      <c r="J13" s="20">
        <v>3748</v>
      </c>
      <c r="K13" s="20" t="str">
        <f t="shared" si="0"/>
        <v>Tidak Valid</v>
      </c>
    </row>
  </sheetData>
  <mergeCells count="3">
    <mergeCell ref="F1:G1"/>
    <mergeCell ref="J1:K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Latihan 1</vt:lpstr>
      <vt:lpstr>Latihan 2</vt:lpstr>
      <vt:lpstr>Latihan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D3M</cp:lastModifiedBy>
  <cp:lastPrinted>2018-10-04T05:30:56Z</cp:lastPrinted>
  <dcterms:created xsi:type="dcterms:W3CDTF">2018-10-03T16:33:53Z</dcterms:created>
  <dcterms:modified xsi:type="dcterms:W3CDTF">2025-10-07T08:11:41Z</dcterms:modified>
</cp:coreProperties>
</file>